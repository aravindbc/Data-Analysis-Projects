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Work\Projects\Resume Projects\Movie Revenue Analysis\"/>
    </mc:Choice>
  </mc:AlternateContent>
  <xr:revisionPtr revIDLastSave="0" documentId="13_ncr:1_{4BDD29FE-64BE-4EFD-A7EE-0533AD789B27}" xr6:coauthVersionLast="47" xr6:coauthVersionMax="47" xr10:uidLastSave="{00000000-0000-0000-0000-000000000000}"/>
  <bookViews>
    <workbookView xWindow="420" yWindow="540" windowWidth="19695" windowHeight="9870" tabRatio="370" xr2:uid="{3D0B1639-0178-4B8B-A95D-EC195C139D2D}"/>
  </bookViews>
  <sheets>
    <sheet name="Dashboard" sheetId="3" r:id="rId1"/>
    <sheet name="Data" sheetId="9" r:id="rId2"/>
    <sheet name="Pivot Tables" sheetId="8" r:id="rId3"/>
    <sheet name="Tasks" sheetId="5" r:id="rId4"/>
    <sheet name="Raw Dataset 1" sheetId="4" r:id="rId5"/>
    <sheet name="Raw Dataset 2" sheetId="6" r:id="rId6"/>
  </sheet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9" l="1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2" i="9"/>
  <c r="P6" i="9"/>
  <c r="P9" i="9"/>
  <c r="P5" i="9"/>
  <c r="P10" i="9"/>
  <c r="P11" i="9"/>
  <c r="P8" i="9"/>
  <c r="P15" i="9"/>
  <c r="P3" i="9"/>
  <c r="P13" i="9"/>
  <c r="P16" i="9"/>
  <c r="P7" i="9"/>
  <c r="P12" i="9"/>
  <c r="P14" i="9"/>
  <c r="P2" i="9"/>
  <c r="P17" i="9"/>
  <c r="P4" i="9"/>
  <c r="M6" i="9"/>
  <c r="N6" i="9"/>
  <c r="O6" i="9"/>
  <c r="M9" i="9"/>
  <c r="N9" i="9"/>
  <c r="O9" i="9"/>
  <c r="M5" i="9"/>
  <c r="N5" i="9"/>
  <c r="O5" i="9"/>
  <c r="M10" i="9"/>
  <c r="N10" i="9"/>
  <c r="O10" i="9"/>
  <c r="M11" i="9"/>
  <c r="N11" i="9"/>
  <c r="O11" i="9"/>
  <c r="M8" i="9"/>
  <c r="N8" i="9"/>
  <c r="O8" i="9"/>
  <c r="M15" i="9"/>
  <c r="N15" i="9"/>
  <c r="O15" i="9"/>
  <c r="M3" i="9"/>
  <c r="N3" i="9"/>
  <c r="O3" i="9"/>
  <c r="M13" i="9"/>
  <c r="N13" i="9"/>
  <c r="O13" i="9"/>
  <c r="M16" i="9"/>
  <c r="N16" i="9"/>
  <c r="O16" i="9"/>
  <c r="M7" i="9"/>
  <c r="N7" i="9"/>
  <c r="O7" i="9"/>
  <c r="M12" i="9"/>
  <c r="N12" i="9"/>
  <c r="O12" i="9"/>
  <c r="M14" i="9"/>
  <c r="N14" i="9"/>
  <c r="O14" i="9"/>
  <c r="M2" i="9"/>
  <c r="N2" i="9"/>
  <c r="O2" i="9"/>
  <c r="M17" i="9"/>
  <c r="N17" i="9"/>
  <c r="O17" i="9"/>
  <c r="O4" i="9"/>
  <c r="N4" i="9"/>
  <c r="M4" i="9"/>
  <c r="L6" i="9"/>
  <c r="L9" i="9"/>
  <c r="L5" i="9"/>
  <c r="L10" i="9"/>
  <c r="L11" i="9"/>
  <c r="L8" i="9"/>
  <c r="L15" i="9"/>
  <c r="L3" i="9"/>
  <c r="L13" i="9"/>
  <c r="L16" i="9"/>
  <c r="L7" i="9"/>
  <c r="L12" i="9"/>
  <c r="L14" i="9"/>
  <c r="L2" i="9"/>
  <c r="L17" i="9"/>
  <c r="L4" i="9"/>
  <c r="Q18" i="9" l="1"/>
  <c r="Q14" i="9"/>
  <c r="Q12" i="9"/>
  <c r="Q7" i="9"/>
  <c r="Q16" i="9"/>
  <c r="Q13" i="9"/>
  <c r="Q3" i="9"/>
  <c r="Q15" i="9"/>
  <c r="Q8" i="9"/>
  <c r="Q11" i="9"/>
  <c r="Q10" i="9"/>
  <c r="Q5" i="9"/>
  <c r="Q9" i="9"/>
  <c r="Q6" i="9"/>
  <c r="Q4" i="9" l="1"/>
  <c r="Q17" i="9"/>
  <c r="Q2" i="9"/>
</calcChain>
</file>

<file path=xl/sharedStrings.xml><?xml version="1.0" encoding="utf-8"?>
<sst xmlns="http://schemas.openxmlformats.org/spreadsheetml/2006/main" count="137" uniqueCount="41">
  <si>
    <t>MOVIE</t>
  </si>
  <si>
    <t>Batman Forever</t>
  </si>
  <si>
    <t>Independence Day</t>
  </si>
  <si>
    <t>Men in Black</t>
  </si>
  <si>
    <t>Titanic</t>
  </si>
  <si>
    <t>Star Wars Ep. I: The Phantom Menace</t>
  </si>
  <si>
    <t>How the Grinch Stole Christmas</t>
  </si>
  <si>
    <t>Harry Potter and the Sorcerer’s Stone</t>
  </si>
  <si>
    <t>Spider-Man</t>
  </si>
  <si>
    <t>Finding Nemo</t>
  </si>
  <si>
    <t>Shrek 2</t>
  </si>
  <si>
    <t>Star Wars Ep. III: Revenge of the Sith</t>
  </si>
  <si>
    <t>Pirates of the Caribbean: Dead Man’s Chest</t>
  </si>
  <si>
    <t>Spider-Man 3</t>
  </si>
  <si>
    <t>The Dark Knight</t>
  </si>
  <si>
    <t>Transformers: Revenge of the Fallen</t>
  </si>
  <si>
    <t>Toy Story 3</t>
  </si>
  <si>
    <t>GENRE</t>
  </si>
  <si>
    <t>Drama</t>
  </si>
  <si>
    <t>Adventure</t>
  </si>
  <si>
    <t>Action</t>
  </si>
  <si>
    <t>DISTRIBUTOR</t>
  </si>
  <si>
    <t>Warner Bros.</t>
  </si>
  <si>
    <t>20th Century Fox</t>
  </si>
  <si>
    <t>Sony Pictures</t>
  </si>
  <si>
    <t>Paramount Pictures</t>
  </si>
  <si>
    <t>Universal</t>
  </si>
  <si>
    <t>Walt Disney</t>
  </si>
  <si>
    <t>Dreamworks SKG</t>
  </si>
  <si>
    <t>Total</t>
  </si>
  <si>
    <t>Avg</t>
  </si>
  <si>
    <t>Min</t>
  </si>
  <si>
    <t>Max</t>
  </si>
  <si>
    <t>MoM</t>
  </si>
  <si>
    <t>Above or Below Average</t>
  </si>
  <si>
    <t>DISTRIBUTORS</t>
  </si>
  <si>
    <t>Grand Total</t>
  </si>
  <si>
    <t>Sum of Total</t>
  </si>
  <si>
    <t>Average of Avg</t>
  </si>
  <si>
    <t>Distributors</t>
  </si>
  <si>
    <t>Genre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</si>
</sst>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">
    <xf numFmtId="0" fontId="0" fillId="0" borderId="0" xfId="0"/>
    <xf numFmtId="17" fontId="0" fillId="0" borderId="0" xfId="0" applyNumberFormat="1"/>
    <xf numFmtId="0" fontId="0" fillId="0" borderId="1" xfId="0" applyBorder="1"/>
    <xf numFmtId="0" fontId="0" fillId="2" borderId="0" xfId="0" applyFill="1"/>
    <xf numFmtId="164" fontId="0" fillId="0" borderId="1" xfId="1" applyNumberFormat="1" applyFont="1" applyBorder="1"/>
    <xf numFmtId="0" fontId="2" fillId="2" borderId="1" xfId="0" applyFont="1" applyFill="1" applyBorder="1" applyAlignment="1">
      <alignment horizontal="center"/>
    </xf>
    <xf numFmtId="17" fontId="2" fillId="2" borderId="1" xfId="0" applyNumberFormat="1" applyFont="1" applyFill="1" applyBorder="1" applyAlignment="1">
      <alignment horizontal="center"/>
    </xf>
    <xf numFmtId="164" fontId="0" fillId="0" borderId="1" xfId="0" applyNumberFormat="1" applyBorder="1"/>
    <xf numFmtId="164" fontId="3" fillId="3" borderId="1" xfId="0" applyNumberFormat="1" applyFont="1" applyFill="1" applyBorder="1"/>
    <xf numFmtId="10" fontId="0" fillId="0" borderId="1" xfId="2" applyNumberFormat="1" applyFont="1" applyBorder="1"/>
    <xf numFmtId="10" fontId="1" fillId="0" borderId="1" xfId="2" applyNumberFormat="1" applyFont="1" applyBorder="1"/>
    <xf numFmtId="164" fontId="4" fillId="0" borderId="1" xfId="0" applyNumberFormat="1" applyFont="1" applyBorder="1"/>
    <xf numFmtId="164" fontId="4" fillId="3" borderId="1" xfId="0" applyNumberFormat="1" applyFont="1" applyFill="1" applyBorder="1"/>
    <xf numFmtId="10" fontId="5" fillId="0" borderId="1" xfId="2" applyNumberFormat="1" applyFont="1" applyBorder="1"/>
    <xf numFmtId="164" fontId="5" fillId="0" borderId="1" xfId="0" applyNumberFormat="1" applyFont="1" applyBorder="1"/>
    <xf numFmtId="0" fontId="0" fillId="4" borderId="0" xfId="0" applyFill="1"/>
    <xf numFmtId="0" fontId="0" fillId="5" borderId="1" xfId="0" applyFill="1" applyBorder="1"/>
    <xf numFmtId="0" fontId="0" fillId="5" borderId="1" xfId="0" applyFill="1" applyBorder="1" applyAlignment="1">
      <alignment horizontal="left"/>
    </xf>
    <xf numFmtId="164" fontId="0" fillId="5" borderId="1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45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(&quot;$&quot;* #,##0_);_(&quot;$&quot;* \(#,##0\);_(&quot;$&quot;* &quot;-&quot;??_);_(@_)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(&quot;$&quot;* #,##0_);_(&quot;$&quot;* \(#,##0\);_(&quot;$&quot;* &quot;-&quot;??_);_(@_)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(&quot;$&quot;* #,##0_);_(&quot;$&quot;* \(#,##0\);_(&quot;$&quot;* &quot;-&quot;??_);_(@_)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Data!$L$1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Data!$B$2:$B$17</c:f>
              <c:strCache>
                <c:ptCount val="16"/>
                <c:pt idx="0">
                  <c:v>Transformers: Revenge of the Fallen</c:v>
                </c:pt>
                <c:pt idx="1">
                  <c:v>Finding Nemo</c:v>
                </c:pt>
                <c:pt idx="2">
                  <c:v>Batman Forever</c:v>
                </c:pt>
                <c:pt idx="3">
                  <c:v>Titanic</c:v>
                </c:pt>
                <c:pt idx="4">
                  <c:v>Independence Day</c:v>
                </c:pt>
                <c:pt idx="5">
                  <c:v>Pirates of the Caribbean: Dead Man’s Chest</c:v>
                </c:pt>
                <c:pt idx="6">
                  <c:v>Harry Potter and the Sorcerer’s Stone</c:v>
                </c:pt>
                <c:pt idx="7">
                  <c:v>Men in Black</c:v>
                </c:pt>
                <c:pt idx="8">
                  <c:v>Star Wars Ep. I: The Phantom Menace</c:v>
                </c:pt>
                <c:pt idx="9">
                  <c:v>How the Grinch Stole Christmas</c:v>
                </c:pt>
                <c:pt idx="10">
                  <c:v>Spider-Man 3</c:v>
                </c:pt>
                <c:pt idx="11">
                  <c:v>Shrek 2</c:v>
                </c:pt>
                <c:pt idx="12">
                  <c:v>The Dark Knight</c:v>
                </c:pt>
                <c:pt idx="13">
                  <c:v>Spider-Man</c:v>
                </c:pt>
                <c:pt idx="14">
                  <c:v>Star Wars Ep. III: Revenge of the Sith</c:v>
                </c:pt>
                <c:pt idx="15">
                  <c:v>Toy Story 3</c:v>
                </c:pt>
              </c:strCache>
            </c:strRef>
          </c:cat>
          <c:val>
            <c:numRef>
              <c:f>Data!$L$2:$L$17</c:f>
              <c:numCache>
                <c:formatCode>_("$"* #,##0_);_("$"* \(#,##0\);_("$"* "-"??_);_(@_)</c:formatCode>
                <c:ptCount val="16"/>
                <c:pt idx="0">
                  <c:v>7591992</c:v>
                </c:pt>
                <c:pt idx="1">
                  <c:v>4507412</c:v>
                </c:pt>
                <c:pt idx="2">
                  <c:v>2240742</c:v>
                </c:pt>
                <c:pt idx="3">
                  <c:v>731267</c:v>
                </c:pt>
                <c:pt idx="4">
                  <c:v>55927</c:v>
                </c:pt>
                <c:pt idx="5">
                  <c:v>44797</c:v>
                </c:pt>
                <c:pt idx="6">
                  <c:v>38707</c:v>
                </c:pt>
                <c:pt idx="7">
                  <c:v>22657</c:v>
                </c:pt>
                <c:pt idx="8">
                  <c:v>10767</c:v>
                </c:pt>
                <c:pt idx="9">
                  <c:v>9117</c:v>
                </c:pt>
                <c:pt idx="10">
                  <c:v>8897</c:v>
                </c:pt>
                <c:pt idx="11">
                  <c:v>8877</c:v>
                </c:pt>
                <c:pt idx="12">
                  <c:v>8767</c:v>
                </c:pt>
                <c:pt idx="13">
                  <c:v>8722</c:v>
                </c:pt>
                <c:pt idx="14">
                  <c:v>8722</c:v>
                </c:pt>
                <c:pt idx="15">
                  <c:v>8722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F1-48E1-A7AA-9395A720963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433042447"/>
        <c:axId val="1129891951"/>
      </c:barChart>
      <c:catAx>
        <c:axId val="14330424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91951"/>
        <c:crosses val="autoZero"/>
        <c:auto val="1"/>
        <c:lblAlgn val="ctr"/>
        <c:lblOffset val="100"/>
        <c:noMultiLvlLbl val="0"/>
      </c:catAx>
      <c:valAx>
        <c:axId val="1129891951"/>
        <c:scaling>
          <c:orientation val="minMax"/>
        </c:scaling>
        <c:delete val="1"/>
        <c:axPos val="b"/>
        <c:numFmt formatCode="_(&quot;$&quot;* #,##0_);_(&quot;$&quot;* \(#,##0\);_(&quot;$&quot;* &quot;-&quot;??_);_(@_)" sourceLinked="1"/>
        <c:majorTickMark val="none"/>
        <c:minorTickMark val="none"/>
        <c:tickLblPos val="nextTo"/>
        <c:crossAx val="1433042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[Movie Revenue Analysis.xlsm]Pivot Tables!PivotTable4</c:name>
    <c:fmtId val="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206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Tables'!$D$12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Tables'!$C$13:$C$16</c:f>
              <c:strCache>
                <c:ptCount val="3"/>
                <c:pt idx="0">
                  <c:v>Action</c:v>
                </c:pt>
                <c:pt idx="1">
                  <c:v>Adventure</c:v>
                </c:pt>
                <c:pt idx="2">
                  <c:v>Drama</c:v>
                </c:pt>
              </c:strCache>
            </c:strRef>
          </c:cat>
          <c:val>
            <c:numRef>
              <c:f>'Pivot Tables'!$D$13:$D$16</c:f>
              <c:numCache>
                <c:formatCode>_("$"* #,##0_);_("$"* \(#,##0\);_("$"* "-"??_);_(@_)</c:formatCode>
                <c:ptCount val="3"/>
                <c:pt idx="0">
                  <c:v>273365.46428571426</c:v>
                </c:pt>
                <c:pt idx="1">
                  <c:v>70274.246753246756</c:v>
                </c:pt>
                <c:pt idx="2">
                  <c:v>320106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94-4C53-A252-B60B1D716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46190927"/>
        <c:axId val="1250481359"/>
      </c:barChart>
      <c:catAx>
        <c:axId val="946190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0481359"/>
        <c:crosses val="autoZero"/>
        <c:auto val="1"/>
        <c:lblAlgn val="ctr"/>
        <c:lblOffset val="100"/>
        <c:noMultiLvlLbl val="0"/>
      </c:catAx>
      <c:valAx>
        <c:axId val="1250481359"/>
        <c:scaling>
          <c:orientation val="minMax"/>
        </c:scaling>
        <c:delete val="1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crossAx val="9461909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[Movie Revenue Analysis.xlsm]Pivot Tables!PivotTable5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gradFill rotWithShape="1">
            <a:gsLst>
              <a:gs pos="0">
                <a:schemeClr val="accent1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'Pivot Tables'!$H$2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269-42F8-AD75-ADE5F1A8643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269-42F8-AD75-ADE5F1A8643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269-42F8-AD75-ADE5F1A8643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269-42F8-AD75-ADE5F1A8643D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269-42F8-AD75-ADE5F1A8643D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269-42F8-AD75-ADE5F1A8643D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269-42F8-AD75-ADE5F1A8643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Tables'!$G$3:$G$10</c:f>
              <c:strCache>
                <c:ptCount val="7"/>
                <c:pt idx="0">
                  <c:v>20th Century Fox</c:v>
                </c:pt>
                <c:pt idx="1">
                  <c:v>Dreamworks SKG</c:v>
                </c:pt>
                <c:pt idx="2">
                  <c:v>Paramount Pictures</c:v>
                </c:pt>
                <c:pt idx="3">
                  <c:v>Sony Pictures</c:v>
                </c:pt>
                <c:pt idx="4">
                  <c:v>Universal</c:v>
                </c:pt>
                <c:pt idx="5">
                  <c:v>Walt Disney</c:v>
                </c:pt>
                <c:pt idx="6">
                  <c:v>Warner Bros.</c:v>
                </c:pt>
              </c:strCache>
            </c:strRef>
          </c:cat>
          <c:val>
            <c:numRef>
              <c:f>'Pivot Tables'!$H$3:$H$10</c:f>
              <c:numCache>
                <c:formatCode>_("$"* #,##0_);_("$"* \(#,##0\);_("$"* "-"??_);_(@_)</c:formatCode>
                <c:ptCount val="7"/>
                <c:pt idx="0">
                  <c:v>3591.2380952380954</c:v>
                </c:pt>
                <c:pt idx="1">
                  <c:v>1268.1428571428571</c:v>
                </c:pt>
                <c:pt idx="2">
                  <c:v>594518.5</c:v>
                </c:pt>
                <c:pt idx="3">
                  <c:v>1917.9047619047622</c:v>
                </c:pt>
                <c:pt idx="4">
                  <c:v>1302.4285714285713</c:v>
                </c:pt>
                <c:pt idx="5">
                  <c:v>217187.1904761905</c:v>
                </c:pt>
                <c:pt idx="6">
                  <c:v>108962.66666666667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269-42F8-AD75-ADE5F1A8643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hyperlink" Target="#Data!A1"/><Relationship Id="rId3" Type="http://schemas.openxmlformats.org/officeDocument/2006/relationships/chart" Target="../charts/chart3.xml"/><Relationship Id="rId7" Type="http://schemas.openxmlformats.org/officeDocument/2006/relationships/hyperlink" Target="#'Pivot Tables'!A1"/><Relationship Id="rId12" Type="http://schemas.openxmlformats.org/officeDocument/2006/relationships/image" Target="../media/image6.sv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svg"/><Relationship Id="rId11" Type="http://schemas.openxmlformats.org/officeDocument/2006/relationships/image" Target="../media/image5.png"/><Relationship Id="rId5" Type="http://schemas.openxmlformats.org/officeDocument/2006/relationships/image" Target="../media/image1.png"/><Relationship Id="rId15" Type="http://schemas.openxmlformats.org/officeDocument/2006/relationships/image" Target="../media/image8.svg"/><Relationship Id="rId10" Type="http://schemas.openxmlformats.org/officeDocument/2006/relationships/hyperlink" Target="#Dashboard!A1"/><Relationship Id="rId4" Type="http://schemas.openxmlformats.org/officeDocument/2006/relationships/hyperlink" Target="#Tasks!A1"/><Relationship Id="rId9" Type="http://schemas.openxmlformats.org/officeDocument/2006/relationships/image" Target="../media/image4.svg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svg"/><Relationship Id="rId7" Type="http://schemas.openxmlformats.org/officeDocument/2006/relationships/hyperlink" Target="#Dashboard!A1"/><Relationship Id="rId12" Type="http://schemas.openxmlformats.org/officeDocument/2006/relationships/image" Target="../media/image8.svg"/><Relationship Id="rId2" Type="http://schemas.openxmlformats.org/officeDocument/2006/relationships/image" Target="../media/image1.png"/><Relationship Id="rId1" Type="http://schemas.openxmlformats.org/officeDocument/2006/relationships/hyperlink" Target="#Tasks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0" Type="http://schemas.openxmlformats.org/officeDocument/2006/relationships/hyperlink" Target="#Data!A1"/><Relationship Id="rId4" Type="http://schemas.openxmlformats.org/officeDocument/2006/relationships/hyperlink" Target="#'Pivot Tables'!A1"/><Relationship Id="rId9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svg"/><Relationship Id="rId7" Type="http://schemas.openxmlformats.org/officeDocument/2006/relationships/hyperlink" Target="#Dashboard!A1"/><Relationship Id="rId12" Type="http://schemas.openxmlformats.org/officeDocument/2006/relationships/image" Target="../media/image8.svg"/><Relationship Id="rId2" Type="http://schemas.openxmlformats.org/officeDocument/2006/relationships/image" Target="../media/image1.png"/><Relationship Id="rId1" Type="http://schemas.openxmlformats.org/officeDocument/2006/relationships/hyperlink" Target="#Tasks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0" Type="http://schemas.openxmlformats.org/officeDocument/2006/relationships/hyperlink" Target="#Data!A1"/><Relationship Id="rId4" Type="http://schemas.openxmlformats.org/officeDocument/2006/relationships/hyperlink" Target="#'Pivot Tables'!A1"/><Relationship Id="rId9" Type="http://schemas.openxmlformats.org/officeDocument/2006/relationships/image" Target="../media/image6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svg"/><Relationship Id="rId7" Type="http://schemas.openxmlformats.org/officeDocument/2006/relationships/hyperlink" Target="#Dashboard!A1"/><Relationship Id="rId12" Type="http://schemas.openxmlformats.org/officeDocument/2006/relationships/image" Target="../media/image8.svg"/><Relationship Id="rId2" Type="http://schemas.openxmlformats.org/officeDocument/2006/relationships/image" Target="../media/image1.png"/><Relationship Id="rId1" Type="http://schemas.openxmlformats.org/officeDocument/2006/relationships/hyperlink" Target="#Tasks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0" Type="http://schemas.openxmlformats.org/officeDocument/2006/relationships/hyperlink" Target="#Data!A1"/><Relationship Id="rId4" Type="http://schemas.openxmlformats.org/officeDocument/2006/relationships/hyperlink" Target="#'Pivot Tables'!A1"/><Relationship Id="rId9" Type="http://schemas.openxmlformats.org/officeDocument/2006/relationships/image" Target="../media/image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0</xdr:row>
      <xdr:rowOff>85725</xdr:rowOff>
    </xdr:from>
    <xdr:to>
      <xdr:col>24</xdr:col>
      <xdr:colOff>107156</xdr:colOff>
      <xdr:row>3</xdr:row>
      <xdr:rowOff>47625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6966B915-176D-4DFD-BBFB-11BCA33C52F1}"/>
            </a:ext>
          </a:extLst>
        </xdr:cNvPr>
        <xdr:cNvSpPr/>
      </xdr:nvSpPr>
      <xdr:spPr>
        <a:xfrm>
          <a:off x="800100" y="85725"/>
          <a:ext cx="13987462" cy="533400"/>
        </a:xfrm>
        <a:prstGeom prst="roundRect">
          <a:avLst>
            <a:gd name="adj" fmla="val 5209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1">
              <a:solidFill>
                <a:srgbClr val="073673"/>
              </a:solidFill>
            </a:rPr>
            <a:t>Movie Revenue Dashboard</a:t>
          </a:r>
          <a:endParaRPr lang="en-US" sz="2000" b="0" i="1">
            <a:solidFill>
              <a:srgbClr val="073673"/>
            </a:solidFill>
          </a:endParaRPr>
        </a:p>
      </xdr:txBody>
    </xdr:sp>
    <xdr:clientData/>
  </xdr:twoCellAnchor>
  <xdr:twoCellAnchor>
    <xdr:from>
      <xdr:col>1</xdr:col>
      <xdr:colOff>97895</xdr:colOff>
      <xdr:row>3</xdr:row>
      <xdr:rowOff>175946</xdr:rowOff>
    </xdr:from>
    <xdr:to>
      <xdr:col>10</xdr:col>
      <xdr:colOff>178593</xdr:colOff>
      <xdr:row>23</xdr:row>
      <xdr:rowOff>0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9EAFEF1D-4D88-42D8-AC39-7CA28907D04E}"/>
            </a:ext>
          </a:extLst>
        </xdr:cNvPr>
        <xdr:cNvSpPr/>
      </xdr:nvSpPr>
      <xdr:spPr>
        <a:xfrm>
          <a:off x="812270" y="747446"/>
          <a:ext cx="5545667" cy="3634054"/>
        </a:xfrm>
        <a:prstGeom prst="roundRect">
          <a:avLst>
            <a:gd name="adj" fmla="val 5209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rgbClr val="073673"/>
              </a:solidFill>
            </a:rPr>
            <a:t>Totals by</a:t>
          </a:r>
          <a:r>
            <a:rPr lang="en-US" sz="1600" b="1" baseline="0">
              <a:solidFill>
                <a:srgbClr val="073673"/>
              </a:solidFill>
            </a:rPr>
            <a:t> Movies </a:t>
          </a:r>
          <a:r>
            <a:rPr lang="en-US" sz="1100" b="0" i="1" baseline="0">
              <a:solidFill>
                <a:srgbClr val="073673"/>
              </a:solidFill>
            </a:rPr>
            <a:t>USD</a:t>
          </a:r>
          <a:endParaRPr lang="en-US" sz="1200" b="0" i="1">
            <a:solidFill>
              <a:srgbClr val="073673"/>
            </a:solidFill>
          </a:endParaRPr>
        </a:p>
      </xdr:txBody>
    </xdr:sp>
    <xdr:clientData/>
  </xdr:twoCellAnchor>
  <xdr:twoCellAnchor>
    <xdr:from>
      <xdr:col>1</xdr:col>
      <xdr:colOff>160073</xdr:colOff>
      <xdr:row>5</xdr:row>
      <xdr:rowOff>137583</xdr:rowOff>
    </xdr:from>
    <xdr:to>
      <xdr:col>10</xdr:col>
      <xdr:colOff>71438</xdr:colOff>
      <xdr:row>22</xdr:row>
      <xdr:rowOff>169333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C065CC78-8FCB-4467-AA58-E19508E12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309562</xdr:colOff>
      <xdr:row>3</xdr:row>
      <xdr:rowOff>166687</xdr:rowOff>
    </xdr:from>
    <xdr:to>
      <xdr:col>18</xdr:col>
      <xdr:colOff>11906</xdr:colOff>
      <xdr:row>23</xdr:row>
      <xdr:rowOff>0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352EDF47-6720-4083-B5CF-A020F842D051}"/>
            </a:ext>
          </a:extLst>
        </xdr:cNvPr>
        <xdr:cNvSpPr/>
      </xdr:nvSpPr>
      <xdr:spPr>
        <a:xfrm>
          <a:off x="6488906" y="738187"/>
          <a:ext cx="4560094" cy="3643313"/>
        </a:xfrm>
        <a:prstGeom prst="roundRect">
          <a:avLst>
            <a:gd name="adj" fmla="val 5209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 baseline="0">
              <a:solidFill>
                <a:srgbClr val="073673"/>
              </a:solidFill>
            </a:rPr>
            <a:t>Average by Genre</a:t>
          </a:r>
          <a:endParaRPr lang="en-US" sz="1600" b="1">
            <a:solidFill>
              <a:srgbClr val="073673"/>
            </a:solidFill>
          </a:endParaRPr>
        </a:p>
      </xdr:txBody>
    </xdr:sp>
    <xdr:clientData/>
  </xdr:twoCellAnchor>
  <xdr:twoCellAnchor>
    <xdr:from>
      <xdr:col>18</xdr:col>
      <xdr:colOff>107155</xdr:colOff>
      <xdr:row>3</xdr:row>
      <xdr:rowOff>166687</xdr:rowOff>
    </xdr:from>
    <xdr:to>
      <xdr:col>24</xdr:col>
      <xdr:colOff>130968</xdr:colOff>
      <xdr:row>23</xdr:row>
      <xdr:rowOff>11907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D4101EDA-F16F-4DAD-ACCD-4A33FDFF1E3A}"/>
            </a:ext>
          </a:extLst>
        </xdr:cNvPr>
        <xdr:cNvSpPr/>
      </xdr:nvSpPr>
      <xdr:spPr>
        <a:xfrm>
          <a:off x="11144249" y="738187"/>
          <a:ext cx="3667125" cy="3655220"/>
        </a:xfrm>
        <a:prstGeom prst="roundRect">
          <a:avLst>
            <a:gd name="adj" fmla="val 5209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 baseline="0">
              <a:solidFill>
                <a:srgbClr val="073673"/>
              </a:solidFill>
            </a:rPr>
            <a:t>Average by Distributors</a:t>
          </a:r>
          <a:endParaRPr lang="en-US" sz="1600" b="1">
            <a:solidFill>
              <a:srgbClr val="073673"/>
            </a:solidFill>
          </a:endParaRPr>
        </a:p>
      </xdr:txBody>
    </xdr:sp>
    <xdr:clientData/>
  </xdr:twoCellAnchor>
  <xdr:twoCellAnchor>
    <xdr:from>
      <xdr:col>9</xdr:col>
      <xdr:colOff>583406</xdr:colOff>
      <xdr:row>4</xdr:row>
      <xdr:rowOff>47625</xdr:rowOff>
    </xdr:from>
    <xdr:to>
      <xdr:col>18</xdr:col>
      <xdr:colOff>381000</xdr:colOff>
      <xdr:row>23</xdr:row>
      <xdr:rowOff>28575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A29C6A4F-7070-4AFE-BA17-11619404BF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415635</xdr:colOff>
      <xdr:row>5</xdr:row>
      <xdr:rowOff>107156</xdr:rowOff>
    </xdr:from>
    <xdr:to>
      <xdr:col>24</xdr:col>
      <xdr:colOff>429708</xdr:colOff>
      <xdr:row>23</xdr:row>
      <xdr:rowOff>40480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88330A0-D1FE-4EA8-AC7E-CF9D890218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136859</xdr:colOff>
      <xdr:row>10</xdr:row>
      <xdr:rowOff>155909</xdr:rowOff>
    </xdr:from>
    <xdr:to>
      <xdr:col>0</xdr:col>
      <xdr:colOff>606091</xdr:colOff>
      <xdr:row>13</xdr:row>
      <xdr:rowOff>53641</xdr:rowOff>
    </xdr:to>
    <xdr:pic>
      <xdr:nvPicPr>
        <xdr:cNvPr id="25" name="Graphic 24" descr="Target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F858C56-8A06-478A-9195-D17D29624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6859" y="2060909"/>
          <a:ext cx="469232" cy="469232"/>
        </a:xfrm>
        <a:prstGeom prst="rect">
          <a:avLst/>
        </a:prstGeom>
      </xdr:spPr>
    </xdr:pic>
    <xdr:clientData/>
  </xdr:twoCellAnchor>
  <xdr:twoCellAnchor editAs="oneCell">
    <xdr:from>
      <xdr:col>0</xdr:col>
      <xdr:colOff>136859</xdr:colOff>
      <xdr:row>7</xdr:row>
      <xdr:rowOff>70184</xdr:rowOff>
    </xdr:from>
    <xdr:to>
      <xdr:col>0</xdr:col>
      <xdr:colOff>606092</xdr:colOff>
      <xdr:row>9</xdr:row>
      <xdr:rowOff>158417</xdr:rowOff>
    </xdr:to>
    <xdr:pic>
      <xdr:nvPicPr>
        <xdr:cNvPr id="26" name="Graphic 25" descr="Tabl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354BBA7-825E-4DDC-A1E3-4F00A7DE7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36859" y="1403684"/>
          <a:ext cx="469233" cy="469233"/>
        </a:xfrm>
        <a:prstGeom prst="rect">
          <a:avLst/>
        </a:prstGeom>
      </xdr:spPr>
    </xdr:pic>
    <xdr:clientData/>
  </xdr:twoCellAnchor>
  <xdr:twoCellAnchor editAs="oneCell">
    <xdr:from>
      <xdr:col>0</xdr:col>
      <xdr:colOff>117809</xdr:colOff>
      <xdr:row>0</xdr:row>
      <xdr:rowOff>146384</xdr:rowOff>
    </xdr:from>
    <xdr:to>
      <xdr:col>0</xdr:col>
      <xdr:colOff>587041</xdr:colOff>
      <xdr:row>3</xdr:row>
      <xdr:rowOff>44116</xdr:rowOff>
    </xdr:to>
    <xdr:pic>
      <xdr:nvPicPr>
        <xdr:cNvPr id="27" name="Graphic 26" descr="Presentation with bar chart RTL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3FE69A4-5407-4E00-BDAA-9845BDFE0D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7809" y="146384"/>
          <a:ext cx="469232" cy="469232"/>
        </a:xfrm>
        <a:prstGeom prst="rect">
          <a:avLst/>
        </a:prstGeom>
      </xdr:spPr>
    </xdr:pic>
    <xdr:clientData/>
  </xdr:twoCellAnchor>
  <xdr:twoCellAnchor editAs="oneCell">
    <xdr:from>
      <xdr:col>0</xdr:col>
      <xdr:colOff>117809</xdr:colOff>
      <xdr:row>4</xdr:row>
      <xdr:rowOff>3509</xdr:rowOff>
    </xdr:from>
    <xdr:to>
      <xdr:col>0</xdr:col>
      <xdr:colOff>587042</xdr:colOff>
      <xdr:row>6</xdr:row>
      <xdr:rowOff>91742</xdr:rowOff>
    </xdr:to>
    <xdr:pic>
      <xdr:nvPicPr>
        <xdr:cNvPr id="28" name="Graphic 27" descr="Server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5E12736-032A-4615-BA6E-DECA728C9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17809" y="765509"/>
          <a:ext cx="469233" cy="4692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136859</xdr:colOff>
      <xdr:row>10</xdr:row>
      <xdr:rowOff>155909</xdr:rowOff>
    </xdr:from>
    <xdr:to>
      <xdr:col>0</xdr:col>
      <xdr:colOff>606091</xdr:colOff>
      <xdr:row>13</xdr:row>
      <xdr:rowOff>53641</xdr:rowOff>
    </xdr:to>
    <xdr:pic>
      <xdr:nvPicPr>
        <xdr:cNvPr id="11" name="Graphic 10" descr="Target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50C605-C63A-4BA5-A0DB-9B38E0269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6859" y="2060909"/>
          <a:ext cx="469232" cy="469232"/>
        </a:xfrm>
        <a:prstGeom prst="rect">
          <a:avLst/>
        </a:prstGeom>
      </xdr:spPr>
    </xdr:pic>
    <xdr:clientData/>
  </xdr:twoCellAnchor>
  <xdr:twoCellAnchor editAs="oneCell">
    <xdr:from>
      <xdr:col>0</xdr:col>
      <xdr:colOff>136859</xdr:colOff>
      <xdr:row>7</xdr:row>
      <xdr:rowOff>70184</xdr:rowOff>
    </xdr:from>
    <xdr:to>
      <xdr:col>0</xdr:col>
      <xdr:colOff>606092</xdr:colOff>
      <xdr:row>9</xdr:row>
      <xdr:rowOff>158417</xdr:rowOff>
    </xdr:to>
    <xdr:pic>
      <xdr:nvPicPr>
        <xdr:cNvPr id="12" name="Graphic 11" descr="Tabl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95AB181-C8F1-4080-80B7-951BDF7CC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6859" y="1403684"/>
          <a:ext cx="469233" cy="469233"/>
        </a:xfrm>
        <a:prstGeom prst="rect">
          <a:avLst/>
        </a:prstGeom>
      </xdr:spPr>
    </xdr:pic>
    <xdr:clientData/>
  </xdr:twoCellAnchor>
  <xdr:twoCellAnchor editAs="oneCell">
    <xdr:from>
      <xdr:col>0</xdr:col>
      <xdr:colOff>117809</xdr:colOff>
      <xdr:row>0</xdr:row>
      <xdr:rowOff>146384</xdr:rowOff>
    </xdr:from>
    <xdr:to>
      <xdr:col>0</xdr:col>
      <xdr:colOff>587041</xdr:colOff>
      <xdr:row>3</xdr:row>
      <xdr:rowOff>44116</xdr:rowOff>
    </xdr:to>
    <xdr:pic>
      <xdr:nvPicPr>
        <xdr:cNvPr id="13" name="Graphic 12" descr="Presentation with bar chart RTL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BB6D3F1-B6B6-42D7-8332-4C31CAED31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7809" y="146384"/>
          <a:ext cx="469232" cy="469232"/>
        </a:xfrm>
        <a:prstGeom prst="rect">
          <a:avLst/>
        </a:prstGeom>
      </xdr:spPr>
    </xdr:pic>
    <xdr:clientData/>
  </xdr:twoCellAnchor>
  <xdr:twoCellAnchor editAs="oneCell">
    <xdr:from>
      <xdr:col>0</xdr:col>
      <xdr:colOff>117809</xdr:colOff>
      <xdr:row>4</xdr:row>
      <xdr:rowOff>3509</xdr:rowOff>
    </xdr:from>
    <xdr:to>
      <xdr:col>0</xdr:col>
      <xdr:colOff>587042</xdr:colOff>
      <xdr:row>6</xdr:row>
      <xdr:rowOff>91742</xdr:rowOff>
    </xdr:to>
    <xdr:pic>
      <xdr:nvPicPr>
        <xdr:cNvPr id="14" name="Graphic 13" descr="Server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CF31F22-27C0-431D-84DC-339E3ABE4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7809" y="765509"/>
          <a:ext cx="469233" cy="4692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136859</xdr:colOff>
      <xdr:row>10</xdr:row>
      <xdr:rowOff>155909</xdr:rowOff>
    </xdr:from>
    <xdr:to>
      <xdr:col>0</xdr:col>
      <xdr:colOff>606091</xdr:colOff>
      <xdr:row>13</xdr:row>
      <xdr:rowOff>53641</xdr:rowOff>
    </xdr:to>
    <xdr:pic>
      <xdr:nvPicPr>
        <xdr:cNvPr id="14" name="Graphic 13" descr="Target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C65DECB-3821-4C82-BC4C-A70F00CF8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6859" y="2060909"/>
          <a:ext cx="469232" cy="469232"/>
        </a:xfrm>
        <a:prstGeom prst="rect">
          <a:avLst/>
        </a:prstGeom>
      </xdr:spPr>
    </xdr:pic>
    <xdr:clientData/>
  </xdr:twoCellAnchor>
  <xdr:twoCellAnchor editAs="oneCell">
    <xdr:from>
      <xdr:col>0</xdr:col>
      <xdr:colOff>136859</xdr:colOff>
      <xdr:row>7</xdr:row>
      <xdr:rowOff>70184</xdr:rowOff>
    </xdr:from>
    <xdr:to>
      <xdr:col>0</xdr:col>
      <xdr:colOff>606092</xdr:colOff>
      <xdr:row>9</xdr:row>
      <xdr:rowOff>158417</xdr:rowOff>
    </xdr:to>
    <xdr:pic>
      <xdr:nvPicPr>
        <xdr:cNvPr id="15" name="Graphic 14" descr="Tabl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4C4C743-38CC-4E95-8A8D-683752607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6859" y="1403684"/>
          <a:ext cx="469233" cy="469233"/>
        </a:xfrm>
        <a:prstGeom prst="rect">
          <a:avLst/>
        </a:prstGeom>
      </xdr:spPr>
    </xdr:pic>
    <xdr:clientData/>
  </xdr:twoCellAnchor>
  <xdr:twoCellAnchor editAs="oneCell">
    <xdr:from>
      <xdr:col>0</xdr:col>
      <xdr:colOff>117809</xdr:colOff>
      <xdr:row>0</xdr:row>
      <xdr:rowOff>146384</xdr:rowOff>
    </xdr:from>
    <xdr:to>
      <xdr:col>0</xdr:col>
      <xdr:colOff>587041</xdr:colOff>
      <xdr:row>3</xdr:row>
      <xdr:rowOff>44116</xdr:rowOff>
    </xdr:to>
    <xdr:pic>
      <xdr:nvPicPr>
        <xdr:cNvPr id="16" name="Graphic 15" descr="Presentation with bar chart RTL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E3ACDB8-2E6D-4328-A217-054B983C6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7809" y="146384"/>
          <a:ext cx="469232" cy="469232"/>
        </a:xfrm>
        <a:prstGeom prst="rect">
          <a:avLst/>
        </a:prstGeom>
      </xdr:spPr>
    </xdr:pic>
    <xdr:clientData/>
  </xdr:twoCellAnchor>
  <xdr:twoCellAnchor editAs="oneCell">
    <xdr:from>
      <xdr:col>0</xdr:col>
      <xdr:colOff>117809</xdr:colOff>
      <xdr:row>4</xdr:row>
      <xdr:rowOff>3509</xdr:rowOff>
    </xdr:from>
    <xdr:to>
      <xdr:col>0</xdr:col>
      <xdr:colOff>587042</xdr:colOff>
      <xdr:row>6</xdr:row>
      <xdr:rowOff>91742</xdr:rowOff>
    </xdr:to>
    <xdr:pic>
      <xdr:nvPicPr>
        <xdr:cNvPr id="17" name="Graphic 16" descr="Server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54C672B-53BC-4818-A4CE-5031914FD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7809" y="765509"/>
          <a:ext cx="469233" cy="46923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0</xdr:row>
      <xdr:rowOff>123825</xdr:rowOff>
    </xdr:from>
    <xdr:to>
      <xdr:col>12</xdr:col>
      <xdr:colOff>504825</xdr:colOff>
      <xdr:row>14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4EB542C-A64E-40D6-9823-6B112C074DB8}"/>
            </a:ext>
          </a:extLst>
        </xdr:cNvPr>
        <xdr:cNvSpPr txBox="1"/>
      </xdr:nvSpPr>
      <xdr:spPr>
        <a:xfrm>
          <a:off x="838200" y="123825"/>
          <a:ext cx="7086600" cy="2638425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1" u="sng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Tasks:</a:t>
          </a:r>
        </a:p>
        <a:p>
          <a:pPr lvl="0"/>
          <a:r>
            <a:rPr lang="en-GB" sz="12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01. Make the Raw Dataset 1 look more professional, presentable to the business</a:t>
          </a:r>
        </a:p>
        <a:p>
          <a:pPr lvl="0"/>
          <a:r>
            <a:rPr lang="en-GB" sz="12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02. Create Column total and Row total</a:t>
          </a:r>
        </a:p>
        <a:p>
          <a:pPr lvl="0"/>
          <a:r>
            <a:rPr lang="en-GB" sz="12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03. Create an Average, Min and Max columns</a:t>
          </a:r>
        </a:p>
        <a:p>
          <a:pPr lvl="0"/>
          <a:r>
            <a:rPr lang="en-GB" sz="12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04. Create a month over month column for the latest month</a:t>
          </a:r>
        </a:p>
        <a:p>
          <a:pPr lvl="0"/>
          <a:r>
            <a:rPr lang="en-GB" sz="12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05. Conditional format the month</a:t>
          </a:r>
          <a:r>
            <a:rPr lang="en-GB" sz="12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over month</a:t>
          </a:r>
          <a:r>
            <a:rPr lang="en-GB" sz="12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column</a:t>
          </a:r>
        </a:p>
        <a:p>
          <a:pPr lvl="0"/>
          <a:r>
            <a:rPr lang="en-GB" sz="12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06. Sort the data by Totals</a:t>
          </a:r>
          <a:r>
            <a:rPr lang="en-GB" sz="12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in</a:t>
          </a:r>
          <a:r>
            <a:rPr lang="en-GB" sz="12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descending</a:t>
          </a:r>
        </a:p>
        <a:p>
          <a:pPr lvl="0"/>
          <a:r>
            <a:rPr lang="en-GB" sz="12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07. Create a new column that has “above average” or “below average” text depending on the Total value</a:t>
          </a:r>
        </a:p>
        <a:p>
          <a:pPr lvl="0"/>
          <a:r>
            <a:rPr lang="en-GB" sz="12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08. Join the Distributors from Raw</a:t>
          </a:r>
          <a:r>
            <a:rPr lang="en-GB" sz="12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Dataset 2</a:t>
          </a:r>
          <a:r>
            <a:rPr lang="en-GB" sz="12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. This new column should be second (next to movie)</a:t>
          </a:r>
        </a:p>
        <a:p>
          <a:pPr lvl="0"/>
          <a:r>
            <a:rPr lang="en-GB" sz="12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09. Create a pivot table showing the sum and average values for distributors</a:t>
          </a:r>
        </a:p>
        <a:p>
          <a:pPr lvl="0"/>
          <a:r>
            <a:rPr lang="en-GB" sz="12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10. Create a horizontal bar chart showing the totals by Movie</a:t>
          </a:r>
        </a:p>
        <a:p>
          <a:pPr lvl="0"/>
          <a:r>
            <a:rPr lang="en-GB" sz="12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11. Create a vertical bar chart showing the average value by Genre</a:t>
          </a:r>
        </a:p>
        <a:p>
          <a:pPr lvl="0"/>
          <a:r>
            <a:rPr lang="en-GB" sz="12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12. Create a pie chart showing the average value by Distributor</a:t>
          </a:r>
        </a:p>
      </xdr:txBody>
    </xdr:sp>
    <xdr:clientData/>
  </xdr:twoCellAnchor>
  <xdr:twoCellAnchor editAs="oneCell">
    <xdr:from>
      <xdr:col>0</xdr:col>
      <xdr:colOff>136859</xdr:colOff>
      <xdr:row>10</xdr:row>
      <xdr:rowOff>155909</xdr:rowOff>
    </xdr:from>
    <xdr:to>
      <xdr:col>0</xdr:col>
      <xdr:colOff>606091</xdr:colOff>
      <xdr:row>13</xdr:row>
      <xdr:rowOff>53641</xdr:rowOff>
    </xdr:to>
    <xdr:pic>
      <xdr:nvPicPr>
        <xdr:cNvPr id="17" name="Graphic 16" descr="Target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D6FE0A-E2F6-8229-5C6C-019BDA9F8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6859" y="2060909"/>
          <a:ext cx="469232" cy="469232"/>
        </a:xfrm>
        <a:prstGeom prst="rect">
          <a:avLst/>
        </a:prstGeom>
      </xdr:spPr>
    </xdr:pic>
    <xdr:clientData/>
  </xdr:twoCellAnchor>
  <xdr:twoCellAnchor editAs="oneCell">
    <xdr:from>
      <xdr:col>0</xdr:col>
      <xdr:colOff>136859</xdr:colOff>
      <xdr:row>7</xdr:row>
      <xdr:rowOff>70184</xdr:rowOff>
    </xdr:from>
    <xdr:to>
      <xdr:col>0</xdr:col>
      <xdr:colOff>606092</xdr:colOff>
      <xdr:row>9</xdr:row>
      <xdr:rowOff>158417</xdr:rowOff>
    </xdr:to>
    <xdr:pic>
      <xdr:nvPicPr>
        <xdr:cNvPr id="21" name="Graphic 20" descr="Tabl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9CF630D-1185-A349-B022-59E9C2E5A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6859" y="1403684"/>
          <a:ext cx="469233" cy="469233"/>
        </a:xfrm>
        <a:prstGeom prst="rect">
          <a:avLst/>
        </a:prstGeom>
      </xdr:spPr>
    </xdr:pic>
    <xdr:clientData/>
  </xdr:twoCellAnchor>
  <xdr:twoCellAnchor editAs="oneCell">
    <xdr:from>
      <xdr:col>0</xdr:col>
      <xdr:colOff>117809</xdr:colOff>
      <xdr:row>0</xdr:row>
      <xdr:rowOff>146384</xdr:rowOff>
    </xdr:from>
    <xdr:to>
      <xdr:col>0</xdr:col>
      <xdr:colOff>587041</xdr:colOff>
      <xdr:row>3</xdr:row>
      <xdr:rowOff>44116</xdr:rowOff>
    </xdr:to>
    <xdr:pic>
      <xdr:nvPicPr>
        <xdr:cNvPr id="23" name="Graphic 22" descr="Presentation with bar chart RTL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EC04E90-D6C7-9033-1176-39292297D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7809" y="146384"/>
          <a:ext cx="469232" cy="469232"/>
        </a:xfrm>
        <a:prstGeom prst="rect">
          <a:avLst/>
        </a:prstGeom>
      </xdr:spPr>
    </xdr:pic>
    <xdr:clientData/>
  </xdr:twoCellAnchor>
  <xdr:twoCellAnchor editAs="oneCell">
    <xdr:from>
      <xdr:col>0</xdr:col>
      <xdr:colOff>117809</xdr:colOff>
      <xdr:row>4</xdr:row>
      <xdr:rowOff>3509</xdr:rowOff>
    </xdr:from>
    <xdr:to>
      <xdr:col>0</xdr:col>
      <xdr:colOff>587042</xdr:colOff>
      <xdr:row>6</xdr:row>
      <xdr:rowOff>91742</xdr:rowOff>
    </xdr:to>
    <xdr:pic>
      <xdr:nvPicPr>
        <xdr:cNvPr id="25" name="Graphic 24" descr="Server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1A5D0D4-4D6E-D384-BE15-CEFE6477D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7809" y="765509"/>
          <a:ext cx="469233" cy="469233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avind Bala" refreshedDate="45159.939430439816" createdVersion="8" refreshedVersion="8" minRefreshableVersion="3" recordCount="16" xr:uid="{FA0882AC-483B-42E3-8F16-2534948B5849}">
  <cacheSource type="worksheet">
    <worksheetSource ref="B1:Q17" sheet="Data"/>
  </cacheSource>
  <cacheFields count="16">
    <cacheField name="MOVIE" numFmtId="0">
      <sharedItems count="16">
        <s v="Transformers: Revenge of the Fallen"/>
        <s v="Finding Nemo"/>
        <s v="Batman Forever"/>
        <s v="Titanic"/>
        <s v="Independence Day"/>
        <s v="Pirates of the Caribbean: Dead Man’s Chest"/>
        <s v="Harry Potter and the Sorcerer’s Stone"/>
        <s v="Men in Black"/>
        <s v="Star Wars Ep. I: The Phantom Menace"/>
        <s v="How the Grinch Stole Christmas"/>
        <s v="Spider-Man 3"/>
        <s v="Shrek 2"/>
        <s v="The Dark Knight"/>
        <s v="Spider-Man"/>
        <s v="Star Wars Ep. III: Revenge of the Sith"/>
        <s v="Toy Story 3"/>
      </sharedItems>
    </cacheField>
    <cacheField name="DISTRIBUTORS" numFmtId="0">
      <sharedItems count="7">
        <s v="Paramount Pictures"/>
        <s v="Walt Disney"/>
        <s v="Warner Bros."/>
        <s v="20th Century Fox"/>
        <s v="Sony Pictures"/>
        <s v="Universal"/>
        <s v="Dreamworks SKG"/>
      </sharedItems>
    </cacheField>
    <cacheField name="GENRE" numFmtId="0">
      <sharedItems count="3">
        <s v="Action"/>
        <s v="Adventure"/>
        <s v="Drama"/>
      </sharedItems>
    </cacheField>
    <cacheField name="Jul-21" numFmtId="164">
      <sharedItems containsSemiMixedTypes="0" containsString="0" containsNumber="1" containsInteger="1" minValue="1246" maxValue="908851" count="12">
        <n v="908851"/>
        <n v="544951"/>
        <n v="259311"/>
        <n v="81641"/>
        <n v="14506"/>
        <n v="5746"/>
        <n v="7586"/>
        <n v="2251"/>
        <n v="1506"/>
        <n v="1296"/>
        <n v="1246"/>
        <n v="1271"/>
      </sharedItems>
    </cacheField>
    <cacheField name="Aug-21" numFmtId="164">
      <sharedItems containsSemiMixedTypes="0" containsString="0" containsNumber="1" containsInteger="1" minValue="1246" maxValue="953741"/>
    </cacheField>
    <cacheField name="Sep-21" numFmtId="164">
      <sharedItems containsSemiMixedTypes="0" containsString="0" containsNumber="1" containsInteger="1" minValue="1246" maxValue="924366"/>
    </cacheField>
    <cacheField name="Oct-21" numFmtId="164">
      <sharedItems containsSemiMixedTypes="0" containsString="0" containsNumber="1" containsInteger="1" minValue="1246" maxValue="907576"/>
    </cacheField>
    <cacheField name="Nov-21" numFmtId="164">
      <sharedItems containsSemiMixedTypes="0" containsString="0" containsNumber="1" containsInteger="1" minValue="1246" maxValue="945771"/>
    </cacheField>
    <cacheField name="Dec-21" numFmtId="164">
      <sharedItems containsSemiMixedTypes="0" containsString="0" containsNumber="1" containsInteger="1" minValue="1246" maxValue="1928656"/>
    </cacheField>
    <cacheField name="Jan-22" numFmtId="164">
      <sharedItems containsSemiMixedTypes="0" containsString="0" containsNumber="1" containsInteger="1" minValue="1246" maxValue="1023031"/>
    </cacheField>
    <cacheField name="Total" numFmtId="164">
      <sharedItems containsSemiMixedTypes="0" containsString="0" containsNumber="1" containsInteger="1" minValue="8722" maxValue="7591992"/>
    </cacheField>
    <cacheField name="Avg" numFmtId="164">
      <sharedItems containsSemiMixedTypes="0" containsString="0" containsNumber="1" minValue="1246" maxValue="1084570.2857142857"/>
    </cacheField>
    <cacheField name="Min" numFmtId="164">
      <sharedItems containsSemiMixedTypes="0" containsString="0" containsNumber="1" containsInteger="1" minValue="1246" maxValue="907576"/>
    </cacheField>
    <cacheField name="Max" numFmtId="164">
      <sharedItems containsSemiMixedTypes="0" containsString="0" containsNumber="1" containsInteger="1" minValue="1246" maxValue="1928656"/>
    </cacheField>
    <cacheField name="MoM" numFmtId="10">
      <sharedItems containsSemiMixedTypes="0" containsString="0" containsNumber="1" minValue="-0.49047717434747562" maxValue="3.6115569823435001E-2"/>
    </cacheField>
    <cacheField name="Above or Below Average" numFmtId="0">
      <sharedItems/>
    </cacheField>
  </cacheFields>
  <extLst>
    <ext xmlns:x14="http://schemas.microsoft.com/office/spreadsheetml/2009/9/main" uri="{725AE2AE-9491-48be-B2B4-4EB974FC3084}">
      <x14:pivotCacheDefinition pivotCacheId="71546342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x v="0"/>
    <x v="0"/>
    <x v="0"/>
    <n v="953741"/>
    <n v="924366"/>
    <n v="907576"/>
    <n v="945771"/>
    <n v="1928656"/>
    <n v="1023031"/>
    <n v="7591992"/>
    <n v="1084570.2857142857"/>
    <n v="907576"/>
    <n v="1928656"/>
    <n v="-0.46956274213753002"/>
    <s v="Above Average"/>
  </r>
  <r>
    <x v="1"/>
    <x v="1"/>
    <x v="1"/>
    <x v="1"/>
    <n v="576636"/>
    <n v="564851"/>
    <n v="516416"/>
    <n v="558496"/>
    <n v="1139066"/>
    <n v="606996"/>
    <n v="4507412"/>
    <n v="643916"/>
    <n v="516416"/>
    <n v="1139066"/>
    <n v="-0.46711077321243899"/>
    <s v="Above Average"/>
  </r>
  <r>
    <x v="2"/>
    <x v="2"/>
    <x v="2"/>
    <x v="2"/>
    <n v="263611"/>
    <n v="263801"/>
    <n v="279256"/>
    <n v="283426"/>
    <n v="590476"/>
    <n v="300861"/>
    <n v="2240742"/>
    <n v="320106"/>
    <n v="259311"/>
    <n v="590476"/>
    <n v="-0.49047717434747562"/>
    <s v="Above Average"/>
  </r>
  <r>
    <x v="3"/>
    <x v="0"/>
    <x v="1"/>
    <x v="3"/>
    <n v="86581"/>
    <n v="78091"/>
    <n v="92076"/>
    <n v="94381"/>
    <n v="187256"/>
    <n v="111241"/>
    <n v="731267"/>
    <n v="104466.71428571429"/>
    <n v="78091"/>
    <n v="187256"/>
    <n v="-0.40594159866706536"/>
    <s v="Below Average"/>
  </r>
  <r>
    <x v="4"/>
    <x v="3"/>
    <x v="1"/>
    <x v="4"/>
    <n v="18876"/>
    <n v="8641"/>
    <n v="5236"/>
    <n v="5066"/>
    <n v="2286"/>
    <n v="1316"/>
    <n v="55927"/>
    <n v="7989.5714285714284"/>
    <n v="1316"/>
    <n v="18876"/>
    <n v="-0.42432195975503062"/>
    <s v="Below Average"/>
  </r>
  <r>
    <x v="5"/>
    <x v="1"/>
    <x v="0"/>
    <x v="5"/>
    <n v="5816"/>
    <n v="5836"/>
    <n v="5671"/>
    <n v="5841"/>
    <n v="10066"/>
    <n v="5821"/>
    <n v="44797"/>
    <n v="6399.5714285714284"/>
    <n v="5671"/>
    <n v="10066"/>
    <n v="-0.42171666997814428"/>
    <s v="Below Average"/>
  </r>
  <r>
    <x v="6"/>
    <x v="2"/>
    <x v="1"/>
    <x v="6"/>
    <n v="7081"/>
    <n v="8006"/>
    <n v="12296"/>
    <n v="1246"/>
    <n v="1246"/>
    <n v="1246"/>
    <n v="38707"/>
    <n v="5529.5714285714284"/>
    <n v="1246"/>
    <n v="12296"/>
    <n v="0"/>
    <s v="Below Average"/>
  </r>
  <r>
    <x v="7"/>
    <x v="4"/>
    <x v="1"/>
    <x v="7"/>
    <n v="2286"/>
    <n v="2286"/>
    <n v="3756"/>
    <n v="4451"/>
    <n v="4956"/>
    <n v="2671"/>
    <n v="22657"/>
    <n v="3236.7142857142858"/>
    <n v="2251"/>
    <n v="4956"/>
    <n v="-0.46105730427764324"/>
    <s v="Below Average"/>
  </r>
  <r>
    <x v="8"/>
    <x v="3"/>
    <x v="1"/>
    <x v="8"/>
    <n v="1501"/>
    <n v="1501"/>
    <n v="1516"/>
    <n v="1501"/>
    <n v="1746"/>
    <n v="1496"/>
    <n v="10767"/>
    <n v="1538.1428571428571"/>
    <n v="1496"/>
    <n v="1746"/>
    <n v="-0.14318442153493705"/>
    <s v="Below Average"/>
  </r>
  <r>
    <x v="9"/>
    <x v="5"/>
    <x v="1"/>
    <x v="9"/>
    <n v="1296"/>
    <n v="1296"/>
    <n v="1291"/>
    <n v="1296"/>
    <n v="1346"/>
    <n v="1296"/>
    <n v="9117"/>
    <n v="1302.4285714285713"/>
    <n v="1291"/>
    <n v="1346"/>
    <n v="-3.7147102526002951E-2"/>
    <s v="Below Average"/>
  </r>
  <r>
    <x v="10"/>
    <x v="4"/>
    <x v="1"/>
    <x v="10"/>
    <n v="1246"/>
    <n v="1246"/>
    <n v="1251"/>
    <n v="1256"/>
    <n v="1396"/>
    <n v="1256"/>
    <n v="8897"/>
    <n v="1271"/>
    <n v="1246"/>
    <n v="1396"/>
    <n v="-0.10028653295128942"/>
    <s v="Below Average"/>
  </r>
  <r>
    <x v="11"/>
    <x v="6"/>
    <x v="1"/>
    <x v="11"/>
    <n v="1271"/>
    <n v="1271"/>
    <n v="1271"/>
    <n v="1271"/>
    <n v="1276"/>
    <n v="1246"/>
    <n v="8877"/>
    <n v="1268.1428571428571"/>
    <n v="1246"/>
    <n v="1276"/>
    <n v="-2.3510971786833812E-2"/>
    <s v="Below Average"/>
  </r>
  <r>
    <x v="12"/>
    <x v="2"/>
    <x v="1"/>
    <x v="10"/>
    <n v="1246"/>
    <n v="1246"/>
    <n v="1246"/>
    <n v="1246"/>
    <n v="1246"/>
    <n v="1291"/>
    <n v="8767"/>
    <n v="1252.4285714285713"/>
    <n v="1246"/>
    <n v="1291"/>
    <n v="3.6115569823435001E-2"/>
    <s v="Below Average"/>
  </r>
  <r>
    <x v="13"/>
    <x v="4"/>
    <x v="1"/>
    <x v="10"/>
    <n v="1246"/>
    <n v="1246"/>
    <n v="1246"/>
    <n v="1246"/>
    <n v="1246"/>
    <n v="1246"/>
    <n v="8722"/>
    <n v="1246"/>
    <n v="1246"/>
    <n v="1246"/>
    <n v="0"/>
    <s v="Below Average"/>
  </r>
  <r>
    <x v="14"/>
    <x v="3"/>
    <x v="0"/>
    <x v="10"/>
    <n v="1246"/>
    <n v="1246"/>
    <n v="1246"/>
    <n v="1246"/>
    <n v="1246"/>
    <n v="1246"/>
    <n v="8722"/>
    <n v="1246"/>
    <n v="1246"/>
    <n v="1246"/>
    <n v="0"/>
    <s v="Below Average"/>
  </r>
  <r>
    <x v="15"/>
    <x v="1"/>
    <x v="0"/>
    <x v="10"/>
    <n v="1246"/>
    <n v="1246"/>
    <n v="1246"/>
    <n v="1246"/>
    <n v="1246"/>
    <n v="1246"/>
    <n v="8722"/>
    <n v="1246"/>
    <n v="1246"/>
    <n v="1246"/>
    <n v="0"/>
    <s v="Below Averag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CAB553-A46C-40C5-85B9-C36A2AFA727C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 rowHeaderCaption="Distributors">
  <location ref="G2:H10" firstHeaderRow="1" firstDataRow="1" firstDataCol="1"/>
  <pivotFields count="16">
    <pivotField showAll="0">
      <items count="17">
        <item x="2"/>
        <item x="1"/>
        <item x="6"/>
        <item x="9"/>
        <item x="4"/>
        <item x="7"/>
        <item x="5"/>
        <item x="11"/>
        <item x="13"/>
        <item x="10"/>
        <item x="8"/>
        <item x="14"/>
        <item x="12"/>
        <item x="3"/>
        <item x="15"/>
        <item x="0"/>
        <item t="default"/>
      </items>
    </pivotField>
    <pivotField axis="axisRow" showAll="0">
      <items count="8">
        <item x="3"/>
        <item x="6"/>
        <item x="0"/>
        <item x="4"/>
        <item x="5"/>
        <item x="1"/>
        <item x="2"/>
        <item t="default"/>
      </items>
    </pivotField>
    <pivotField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dataField="1" numFmtId="164" showAll="0"/>
    <pivotField numFmtId="164" showAll="0"/>
    <pivotField numFmtId="164" showAll="0"/>
    <pivotField numFmtId="10" showAll="0"/>
    <pivotField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Average of Avg" fld="11" subtotal="average" baseField="1" baseItem="0"/>
  </dataFields>
  <formats count="13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1" type="button" dataOnly="0" labelOnly="1" outline="0" axis="axisRow" fieldPosition="0"/>
    </format>
    <format dxfId="9">
      <pivotArea dataOnly="0" labelOnly="1" fieldPosition="0">
        <references count="1">
          <reference field="1" count="0"/>
        </references>
      </pivotArea>
    </format>
    <format dxfId="8">
      <pivotArea dataOnly="0" labelOnly="1" grandRow="1" outline="0" fieldPosition="0"/>
    </format>
    <format dxfId="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">
      <pivotArea outline="0" collapsedLevelsAreSubtotals="1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1" type="button" dataOnly="0" labelOnly="1" outline="0" axis="axisRow" fieldPosition="0"/>
    </format>
    <format dxfId="2">
      <pivotArea dataOnly="0" labelOnly="1" fieldPosition="0">
        <references count="1">
          <reference field="1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16">
    <chartFormat chart="9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9" format="2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9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9" format="29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9" format="30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9" format="3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9" format="32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12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2" format="4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2" format="4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2" format="4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2" format="4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2" format="47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2" format="48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F1BB1C-AE42-4AE5-9D82-A6EE513C5BD6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 rowHeaderCaption="Genre">
  <location ref="C12:D16" firstHeaderRow="1" firstDataRow="1" firstDataCol="1"/>
  <pivotFields count="16">
    <pivotField showAll="0">
      <items count="17">
        <item x="2"/>
        <item x="1"/>
        <item x="6"/>
        <item x="9"/>
        <item x="4"/>
        <item x="7"/>
        <item x="5"/>
        <item x="11"/>
        <item x="13"/>
        <item x="10"/>
        <item x="8"/>
        <item x="14"/>
        <item x="12"/>
        <item x="3"/>
        <item x="15"/>
        <item x="0"/>
        <item t="default"/>
      </items>
    </pivotField>
    <pivotField showAll="0">
      <items count="8">
        <item x="3"/>
        <item x="6"/>
        <item x="0"/>
        <item x="4"/>
        <item x="5"/>
        <item x="1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dataField="1" numFmtId="164" showAll="0"/>
    <pivotField numFmtId="164" showAll="0"/>
    <pivotField numFmtId="164" showAll="0"/>
    <pivotField numFmtId="10"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Average of Avg" fld="11" subtotal="average" baseField="1" baseItem="0"/>
  </dataFields>
  <formats count="12"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1" type="button" dataOnly="0" labelOnly="1" outline="0"/>
    </format>
    <format dxfId="21">
      <pivotArea dataOnly="0" labelOnly="1" grandRow="1" outline="0" fieldPosition="0"/>
    </format>
    <format dxfId="2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9">
      <pivotArea outline="0" collapsedLevelsAreSubtotals="1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2" type="button" dataOnly="0" labelOnly="1" outline="0" axis="axisRow" fieldPosition="0"/>
    </format>
    <format dxfId="15">
      <pivotArea dataOnly="0" labelOnly="1" fieldPosition="0">
        <references count="1">
          <reference field="2" count="0"/>
        </references>
      </pivotArea>
    </format>
    <format dxfId="14">
      <pivotArea dataOnly="0" labelOnly="1" grandRow="1" outline="0" fieldPosition="0"/>
    </format>
    <format dxfId="13">
      <pivotArea dataOnly="0" labelOnly="1" outline="0" axis="axisValues" fieldPosition="0"/>
    </format>
  </formats>
  <chartFormats count="1">
    <chartFormat chart="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EAF513-0307-4355-B5AB-88E3CB2F8DA4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Distributors">
  <location ref="C2:E10" firstHeaderRow="0" firstDataRow="1" firstDataCol="1"/>
  <pivotFields count="16">
    <pivotField showAll="0">
      <items count="17">
        <item x="2"/>
        <item x="1"/>
        <item x="6"/>
        <item x="9"/>
        <item x="4"/>
        <item x="7"/>
        <item x="5"/>
        <item x="11"/>
        <item x="13"/>
        <item x="10"/>
        <item x="8"/>
        <item x="14"/>
        <item x="12"/>
        <item x="3"/>
        <item x="15"/>
        <item x="0"/>
        <item t="default"/>
      </items>
    </pivotField>
    <pivotField axis="axisRow" showAll="0">
      <items count="8">
        <item x="3"/>
        <item x="6"/>
        <item x="0"/>
        <item x="4"/>
        <item x="5"/>
        <item x="1"/>
        <item x="2"/>
        <item t="default"/>
      </items>
    </pivotField>
    <pivotField showAll="0"/>
    <pivotField numFmtId="164" showAll="0">
      <items count="13">
        <item x="10"/>
        <item x="11"/>
        <item x="9"/>
        <item x="8"/>
        <item x="7"/>
        <item x="5"/>
        <item x="6"/>
        <item x="4"/>
        <item x="3"/>
        <item x="2"/>
        <item x="1"/>
        <item x="0"/>
        <item t="default"/>
      </items>
    </pivotField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dataField="1" numFmtId="164" showAll="0"/>
    <pivotField dataField="1" numFmtId="164" showAll="0"/>
    <pivotField numFmtId="164" showAll="0"/>
    <pivotField numFmtId="164" showAll="0"/>
    <pivotField numFmtId="10" showAll="0"/>
    <pivotField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otal" fld="10" baseField="0" baseItem="0"/>
    <dataField name="Average of Avg" fld="11" subtotal="average" baseField="1" baseItem="0"/>
  </dataFields>
  <formats count="13"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1" type="button" dataOnly="0" labelOnly="1" outline="0" axis="axisRow" fieldPosition="0"/>
    </format>
    <format dxfId="34">
      <pivotArea dataOnly="0" labelOnly="1" fieldPosition="0">
        <references count="1">
          <reference field="1" count="0"/>
        </references>
      </pivotArea>
    </format>
    <format dxfId="33">
      <pivotArea dataOnly="0" labelOnly="1" grandRow="1" outline="0" fieldPosition="0"/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">
      <pivotArea outline="0" collapsedLevelsAreSubtotals="1" fieldPosition="0"/>
    </format>
    <format dxfId="30">
      <pivotArea type="all" dataOnly="0" outline="0" fieldPosition="0"/>
    </format>
    <format dxfId="29">
      <pivotArea outline="0" collapsedLevelsAreSubtotals="1" fieldPosition="0"/>
    </format>
    <format dxfId="28">
      <pivotArea field="1" type="button" dataOnly="0" labelOnly="1" outline="0" axis="axisRow" fieldPosition="0"/>
    </format>
    <format dxfId="27">
      <pivotArea dataOnly="0" labelOnly="1" fieldPosition="0">
        <references count="1">
          <reference field="1" count="0"/>
        </references>
      </pivotArea>
    </format>
    <format dxfId="26">
      <pivotArea dataOnly="0" labelOnly="1" grandRow="1" outline="0" fieldPosition="0"/>
    </format>
    <format dxfId="2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B6087-45A3-4353-A525-0E2F9BD5673D}">
  <sheetPr codeName="Sheet5"/>
  <dimension ref="A1"/>
  <sheetViews>
    <sheetView showGridLines="0" tabSelected="1" zoomScale="80" zoomScaleNormal="80" workbookViewId="0"/>
  </sheetViews>
  <sheetFormatPr defaultRowHeight="15" x14ac:dyDescent="0.25"/>
  <cols>
    <col min="1" max="1" width="10.7109375" style="3" customWidth="1"/>
    <col min="2" max="16384" width="9.140625" style="15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16AFC-9B34-4E1D-B362-D0E245823F0E}">
  <sheetPr codeName="Sheet4"/>
  <dimension ref="A1:Q18"/>
  <sheetViews>
    <sheetView showGridLines="0" zoomScaleNormal="100" workbookViewId="0"/>
  </sheetViews>
  <sheetFormatPr defaultRowHeight="15" x14ac:dyDescent="0.25"/>
  <cols>
    <col min="1" max="1" width="10.7109375" style="3" customWidth="1"/>
    <col min="2" max="2" width="34.5703125" bestFit="1" customWidth="1"/>
    <col min="3" max="3" width="18.5703125" bestFit="1" customWidth="1"/>
    <col min="4" max="4" width="10.42578125" bestFit="1" customWidth="1"/>
    <col min="5" max="11" width="12.7109375" bestFit="1" customWidth="1"/>
    <col min="12" max="12" width="14" bestFit="1" customWidth="1"/>
    <col min="13" max="15" width="12.7109375" bestFit="1" customWidth="1"/>
    <col min="16" max="16" width="8.42578125" bestFit="1" customWidth="1"/>
    <col min="17" max="17" width="14.42578125" bestFit="1" customWidth="1"/>
  </cols>
  <sheetData>
    <row r="1" spans="2:17" x14ac:dyDescent="0.25">
      <c r="B1" s="5" t="s">
        <v>0</v>
      </c>
      <c r="C1" s="5" t="s">
        <v>35</v>
      </c>
      <c r="D1" s="5" t="s">
        <v>17</v>
      </c>
      <c r="E1" s="6">
        <v>44378</v>
      </c>
      <c r="F1" s="6">
        <v>44409</v>
      </c>
      <c r="G1" s="6">
        <v>44440</v>
      </c>
      <c r="H1" s="6">
        <v>44470</v>
      </c>
      <c r="I1" s="6">
        <v>44501</v>
      </c>
      <c r="J1" s="6">
        <v>44531</v>
      </c>
      <c r="K1" s="6">
        <v>44562</v>
      </c>
      <c r="L1" s="5" t="s">
        <v>29</v>
      </c>
      <c r="M1" s="5" t="s">
        <v>30</v>
      </c>
      <c r="N1" s="5" t="s">
        <v>31</v>
      </c>
      <c r="O1" s="5" t="s">
        <v>32</v>
      </c>
      <c r="P1" s="5" t="s">
        <v>33</v>
      </c>
      <c r="Q1" s="5" t="s">
        <v>34</v>
      </c>
    </row>
    <row r="2" spans="2:17" x14ac:dyDescent="0.25">
      <c r="B2" s="2" t="s">
        <v>15</v>
      </c>
      <c r="C2" s="2" t="str">
        <f>VLOOKUP(B2,'Raw Dataset 2'!$A$2:$B$17,2,)</f>
        <v>Paramount Pictures</v>
      </c>
      <c r="D2" s="2" t="s">
        <v>20</v>
      </c>
      <c r="E2" s="4">
        <v>908851</v>
      </c>
      <c r="F2" s="4">
        <v>953741</v>
      </c>
      <c r="G2" s="4">
        <v>924366</v>
      </c>
      <c r="H2" s="4">
        <v>907576</v>
      </c>
      <c r="I2" s="4">
        <v>945771</v>
      </c>
      <c r="J2" s="4">
        <v>1928656</v>
      </c>
      <c r="K2" s="4">
        <v>1023031</v>
      </c>
      <c r="L2" s="8">
        <f t="shared" ref="L2:L17" si="0">SUM(E2:K2)</f>
        <v>7591992</v>
      </c>
      <c r="M2" s="7">
        <f t="shared" ref="M2:M17" si="1">AVERAGE(E2:K2)</f>
        <v>1084570.2857142857</v>
      </c>
      <c r="N2" s="7">
        <f t="shared" ref="N2:N17" si="2">MIN(E2:K2)</f>
        <v>907576</v>
      </c>
      <c r="O2" s="7">
        <f t="shared" ref="O2:O17" si="3">MAX(E2:K2)</f>
        <v>1928656</v>
      </c>
      <c r="P2" s="9">
        <f t="shared" ref="P2:P17" si="4">K2/J2-1</f>
        <v>-0.46956274213753002</v>
      </c>
      <c r="Q2" s="2" t="str">
        <f>IF(L2&gt;$Q$18,"Above Average","Below Average")</f>
        <v>Above Average</v>
      </c>
    </row>
    <row r="3" spans="2:17" x14ac:dyDescent="0.25">
      <c r="B3" s="2" t="s">
        <v>9</v>
      </c>
      <c r="C3" s="2" t="str">
        <f>VLOOKUP(B3,'Raw Dataset 2'!$A$2:$B$17,2,)</f>
        <v>Walt Disney</v>
      </c>
      <c r="D3" s="2" t="s">
        <v>19</v>
      </c>
      <c r="E3" s="4">
        <v>544951</v>
      </c>
      <c r="F3" s="4">
        <v>576636</v>
      </c>
      <c r="G3" s="4">
        <v>564851</v>
      </c>
      <c r="H3" s="4">
        <v>516416</v>
      </c>
      <c r="I3" s="4">
        <v>558496</v>
      </c>
      <c r="J3" s="4">
        <v>1139066</v>
      </c>
      <c r="K3" s="4">
        <v>606996</v>
      </c>
      <c r="L3" s="8">
        <f t="shared" si="0"/>
        <v>4507412</v>
      </c>
      <c r="M3" s="7">
        <f t="shared" si="1"/>
        <v>643916</v>
      </c>
      <c r="N3" s="7">
        <f t="shared" si="2"/>
        <v>516416</v>
      </c>
      <c r="O3" s="7">
        <f t="shared" si="3"/>
        <v>1139066</v>
      </c>
      <c r="P3" s="9">
        <f t="shared" si="4"/>
        <v>-0.46711077321243899</v>
      </c>
      <c r="Q3" s="2" t="str">
        <f t="shared" ref="Q3:Q17" si="5">IF(L3&gt;$Q$18,"Above Average","Below Average")</f>
        <v>Above Average</v>
      </c>
    </row>
    <row r="4" spans="2:17" x14ac:dyDescent="0.25">
      <c r="B4" s="2" t="s">
        <v>1</v>
      </c>
      <c r="C4" s="2" t="str">
        <f>VLOOKUP(B4,'Raw Dataset 2'!$A$2:$B$17,2,)</f>
        <v>Warner Bros.</v>
      </c>
      <c r="D4" s="2" t="s">
        <v>18</v>
      </c>
      <c r="E4" s="4">
        <v>259311</v>
      </c>
      <c r="F4" s="4">
        <v>263611</v>
      </c>
      <c r="G4" s="4">
        <v>263801</v>
      </c>
      <c r="H4" s="4">
        <v>279256</v>
      </c>
      <c r="I4" s="4">
        <v>283426</v>
      </c>
      <c r="J4" s="4">
        <v>590476</v>
      </c>
      <c r="K4" s="4">
        <v>300861</v>
      </c>
      <c r="L4" s="8">
        <f t="shared" si="0"/>
        <v>2240742</v>
      </c>
      <c r="M4" s="7">
        <f t="shared" si="1"/>
        <v>320106</v>
      </c>
      <c r="N4" s="7">
        <f t="shared" si="2"/>
        <v>259311</v>
      </c>
      <c r="O4" s="7">
        <f t="shared" si="3"/>
        <v>590476</v>
      </c>
      <c r="P4" s="9">
        <f t="shared" si="4"/>
        <v>-0.49047717434747562</v>
      </c>
      <c r="Q4" s="2" t="str">
        <f t="shared" si="5"/>
        <v>Above Average</v>
      </c>
    </row>
    <row r="5" spans="2:17" x14ac:dyDescent="0.25">
      <c r="B5" s="2" t="s">
        <v>4</v>
      </c>
      <c r="C5" s="2" t="str">
        <f>VLOOKUP(B5,'Raw Dataset 2'!$A$2:$B$17,2,)</f>
        <v>Paramount Pictures</v>
      </c>
      <c r="D5" s="2" t="s">
        <v>19</v>
      </c>
      <c r="E5" s="4">
        <v>81641</v>
      </c>
      <c r="F5" s="4">
        <v>86581</v>
      </c>
      <c r="G5" s="4">
        <v>78091</v>
      </c>
      <c r="H5" s="4">
        <v>92076</v>
      </c>
      <c r="I5" s="4">
        <v>94381</v>
      </c>
      <c r="J5" s="4">
        <v>187256</v>
      </c>
      <c r="K5" s="4">
        <v>111241</v>
      </c>
      <c r="L5" s="8">
        <f t="shared" si="0"/>
        <v>731267</v>
      </c>
      <c r="M5" s="7">
        <f t="shared" si="1"/>
        <v>104466.71428571429</v>
      </c>
      <c r="N5" s="7">
        <f t="shared" si="2"/>
        <v>78091</v>
      </c>
      <c r="O5" s="7">
        <f t="shared" si="3"/>
        <v>187256</v>
      </c>
      <c r="P5" s="9">
        <f t="shared" si="4"/>
        <v>-0.40594159866706536</v>
      </c>
      <c r="Q5" s="2" t="str">
        <f t="shared" si="5"/>
        <v>Below Average</v>
      </c>
    </row>
    <row r="6" spans="2:17" x14ac:dyDescent="0.25">
      <c r="B6" s="2" t="s">
        <v>2</v>
      </c>
      <c r="C6" s="2" t="str">
        <f>VLOOKUP(B6,'Raw Dataset 2'!$A$2:$B$17,2,)</f>
        <v>20th Century Fox</v>
      </c>
      <c r="D6" s="2" t="s">
        <v>19</v>
      </c>
      <c r="E6" s="4">
        <v>14506</v>
      </c>
      <c r="F6" s="4">
        <v>18876</v>
      </c>
      <c r="G6" s="4">
        <v>8641</v>
      </c>
      <c r="H6" s="4">
        <v>5236</v>
      </c>
      <c r="I6" s="4">
        <v>5066</v>
      </c>
      <c r="J6" s="4">
        <v>2286</v>
      </c>
      <c r="K6" s="4">
        <v>1316</v>
      </c>
      <c r="L6" s="8">
        <f t="shared" si="0"/>
        <v>55927</v>
      </c>
      <c r="M6" s="7">
        <f t="shared" si="1"/>
        <v>7989.5714285714284</v>
      </c>
      <c r="N6" s="7">
        <f t="shared" si="2"/>
        <v>1316</v>
      </c>
      <c r="O6" s="7">
        <f t="shared" si="3"/>
        <v>18876</v>
      </c>
      <c r="P6" s="9">
        <f t="shared" si="4"/>
        <v>-0.42432195975503062</v>
      </c>
      <c r="Q6" s="2" t="str">
        <f t="shared" si="5"/>
        <v>Below Average</v>
      </c>
    </row>
    <row r="7" spans="2:17" x14ac:dyDescent="0.25">
      <c r="B7" s="2" t="s">
        <v>12</v>
      </c>
      <c r="C7" s="2" t="str">
        <f>VLOOKUP(B7,'Raw Dataset 2'!$A$2:$B$17,2,)</f>
        <v>Walt Disney</v>
      </c>
      <c r="D7" s="2" t="s">
        <v>20</v>
      </c>
      <c r="E7" s="4">
        <v>5746</v>
      </c>
      <c r="F7" s="4">
        <v>5816</v>
      </c>
      <c r="G7" s="4">
        <v>5836</v>
      </c>
      <c r="H7" s="4">
        <v>5671</v>
      </c>
      <c r="I7" s="4">
        <v>5841</v>
      </c>
      <c r="J7" s="4">
        <v>10066</v>
      </c>
      <c r="K7" s="4">
        <v>5821</v>
      </c>
      <c r="L7" s="8">
        <f t="shared" si="0"/>
        <v>44797</v>
      </c>
      <c r="M7" s="7">
        <f t="shared" si="1"/>
        <v>6399.5714285714284</v>
      </c>
      <c r="N7" s="7">
        <f t="shared" si="2"/>
        <v>5671</v>
      </c>
      <c r="O7" s="7">
        <f t="shared" si="3"/>
        <v>10066</v>
      </c>
      <c r="P7" s="9">
        <f t="shared" si="4"/>
        <v>-0.42171666997814428</v>
      </c>
      <c r="Q7" s="2" t="str">
        <f t="shared" si="5"/>
        <v>Below Average</v>
      </c>
    </row>
    <row r="8" spans="2:17" x14ac:dyDescent="0.25">
      <c r="B8" s="2" t="s">
        <v>7</v>
      </c>
      <c r="C8" s="2" t="str">
        <f>VLOOKUP(B8,'Raw Dataset 2'!$A$2:$B$17,2,)</f>
        <v>Warner Bros.</v>
      </c>
      <c r="D8" s="2" t="s">
        <v>19</v>
      </c>
      <c r="E8" s="4">
        <v>7586</v>
      </c>
      <c r="F8" s="4">
        <v>7081</v>
      </c>
      <c r="G8" s="4">
        <v>8006</v>
      </c>
      <c r="H8" s="4">
        <v>12296</v>
      </c>
      <c r="I8" s="4">
        <v>1246</v>
      </c>
      <c r="J8" s="4">
        <v>1246</v>
      </c>
      <c r="K8" s="4">
        <v>1246</v>
      </c>
      <c r="L8" s="8">
        <f t="shared" si="0"/>
        <v>38707</v>
      </c>
      <c r="M8" s="7">
        <f t="shared" si="1"/>
        <v>5529.5714285714284</v>
      </c>
      <c r="N8" s="7">
        <f t="shared" si="2"/>
        <v>1246</v>
      </c>
      <c r="O8" s="7">
        <f t="shared" si="3"/>
        <v>12296</v>
      </c>
      <c r="P8" s="10">
        <f t="shared" si="4"/>
        <v>0</v>
      </c>
      <c r="Q8" s="2" t="str">
        <f t="shared" si="5"/>
        <v>Below Average</v>
      </c>
    </row>
    <row r="9" spans="2:17" x14ac:dyDescent="0.25">
      <c r="B9" s="2" t="s">
        <v>3</v>
      </c>
      <c r="C9" s="2" t="str">
        <f>VLOOKUP(B9,'Raw Dataset 2'!$A$2:$B$17,2,)</f>
        <v>Sony Pictures</v>
      </c>
      <c r="D9" s="2" t="s">
        <v>19</v>
      </c>
      <c r="E9" s="4">
        <v>2251</v>
      </c>
      <c r="F9" s="4">
        <v>2286</v>
      </c>
      <c r="G9" s="4">
        <v>2286</v>
      </c>
      <c r="H9" s="4">
        <v>3756</v>
      </c>
      <c r="I9" s="4">
        <v>4451</v>
      </c>
      <c r="J9" s="4">
        <v>4956</v>
      </c>
      <c r="K9" s="4">
        <v>2671</v>
      </c>
      <c r="L9" s="8">
        <f t="shared" si="0"/>
        <v>22657</v>
      </c>
      <c r="M9" s="7">
        <f t="shared" si="1"/>
        <v>3236.7142857142858</v>
      </c>
      <c r="N9" s="7">
        <f t="shared" si="2"/>
        <v>2251</v>
      </c>
      <c r="O9" s="7">
        <f t="shared" si="3"/>
        <v>4956</v>
      </c>
      <c r="P9" s="9">
        <f t="shared" si="4"/>
        <v>-0.46105730427764324</v>
      </c>
      <c r="Q9" s="2" t="str">
        <f t="shared" si="5"/>
        <v>Below Average</v>
      </c>
    </row>
    <row r="10" spans="2:17" x14ac:dyDescent="0.25">
      <c r="B10" s="2" t="s">
        <v>5</v>
      </c>
      <c r="C10" s="2" t="str">
        <f>VLOOKUP(B10,'Raw Dataset 2'!$A$2:$B$17,2,)</f>
        <v>20th Century Fox</v>
      </c>
      <c r="D10" s="2" t="s">
        <v>19</v>
      </c>
      <c r="E10" s="4">
        <v>1506</v>
      </c>
      <c r="F10" s="4">
        <v>1501</v>
      </c>
      <c r="G10" s="4">
        <v>1501</v>
      </c>
      <c r="H10" s="4">
        <v>1516</v>
      </c>
      <c r="I10" s="4">
        <v>1501</v>
      </c>
      <c r="J10" s="4">
        <v>1746</v>
      </c>
      <c r="K10" s="4">
        <v>1496</v>
      </c>
      <c r="L10" s="8">
        <f t="shared" si="0"/>
        <v>10767</v>
      </c>
      <c r="M10" s="7">
        <f t="shared" si="1"/>
        <v>1538.1428571428571</v>
      </c>
      <c r="N10" s="7">
        <f t="shared" si="2"/>
        <v>1496</v>
      </c>
      <c r="O10" s="7">
        <f t="shared" si="3"/>
        <v>1746</v>
      </c>
      <c r="P10" s="9">
        <f t="shared" si="4"/>
        <v>-0.14318442153493705</v>
      </c>
      <c r="Q10" s="2" t="str">
        <f t="shared" si="5"/>
        <v>Below Average</v>
      </c>
    </row>
    <row r="11" spans="2:17" x14ac:dyDescent="0.25">
      <c r="B11" s="2" t="s">
        <v>6</v>
      </c>
      <c r="C11" s="2" t="str">
        <f>VLOOKUP(B11,'Raw Dataset 2'!$A$2:$B$17,2,)</f>
        <v>Universal</v>
      </c>
      <c r="D11" s="2" t="s">
        <v>19</v>
      </c>
      <c r="E11" s="4">
        <v>1296</v>
      </c>
      <c r="F11" s="4">
        <v>1296</v>
      </c>
      <c r="G11" s="4">
        <v>1296</v>
      </c>
      <c r="H11" s="4">
        <v>1291</v>
      </c>
      <c r="I11" s="4">
        <v>1296</v>
      </c>
      <c r="J11" s="4">
        <v>1346</v>
      </c>
      <c r="K11" s="4">
        <v>1296</v>
      </c>
      <c r="L11" s="8">
        <f t="shared" si="0"/>
        <v>9117</v>
      </c>
      <c r="M11" s="7">
        <f t="shared" si="1"/>
        <v>1302.4285714285713</v>
      </c>
      <c r="N11" s="7">
        <f t="shared" si="2"/>
        <v>1291</v>
      </c>
      <c r="O11" s="7">
        <f t="shared" si="3"/>
        <v>1346</v>
      </c>
      <c r="P11" s="9">
        <f t="shared" si="4"/>
        <v>-3.7147102526002951E-2</v>
      </c>
      <c r="Q11" s="2" t="str">
        <f t="shared" si="5"/>
        <v>Below Average</v>
      </c>
    </row>
    <row r="12" spans="2:17" x14ac:dyDescent="0.25">
      <c r="B12" s="2" t="s">
        <v>13</v>
      </c>
      <c r="C12" s="2" t="str">
        <f>VLOOKUP(B12,'Raw Dataset 2'!$A$2:$B$17,2,)</f>
        <v>Sony Pictures</v>
      </c>
      <c r="D12" s="2" t="s">
        <v>19</v>
      </c>
      <c r="E12" s="4">
        <v>1246</v>
      </c>
      <c r="F12" s="4">
        <v>1246</v>
      </c>
      <c r="G12" s="4">
        <v>1246</v>
      </c>
      <c r="H12" s="4">
        <v>1251</v>
      </c>
      <c r="I12" s="4">
        <v>1256</v>
      </c>
      <c r="J12" s="4">
        <v>1396</v>
      </c>
      <c r="K12" s="4">
        <v>1256</v>
      </c>
      <c r="L12" s="8">
        <f t="shared" si="0"/>
        <v>8897</v>
      </c>
      <c r="M12" s="7">
        <f t="shared" si="1"/>
        <v>1271</v>
      </c>
      <c r="N12" s="7">
        <f t="shared" si="2"/>
        <v>1246</v>
      </c>
      <c r="O12" s="7">
        <f t="shared" si="3"/>
        <v>1396</v>
      </c>
      <c r="P12" s="9">
        <f t="shared" si="4"/>
        <v>-0.10028653295128942</v>
      </c>
      <c r="Q12" s="2" t="str">
        <f t="shared" si="5"/>
        <v>Below Average</v>
      </c>
    </row>
    <row r="13" spans="2:17" x14ac:dyDescent="0.25">
      <c r="B13" s="2" t="s">
        <v>10</v>
      </c>
      <c r="C13" s="2" t="str">
        <f>VLOOKUP(B13,'Raw Dataset 2'!$A$2:$B$17,2,)</f>
        <v>Dreamworks SKG</v>
      </c>
      <c r="D13" s="2" t="s">
        <v>19</v>
      </c>
      <c r="E13" s="4">
        <v>1271</v>
      </c>
      <c r="F13" s="4">
        <v>1271</v>
      </c>
      <c r="G13" s="4">
        <v>1271</v>
      </c>
      <c r="H13" s="4">
        <v>1271</v>
      </c>
      <c r="I13" s="4">
        <v>1271</v>
      </c>
      <c r="J13" s="4">
        <v>1276</v>
      </c>
      <c r="K13" s="4">
        <v>1246</v>
      </c>
      <c r="L13" s="8">
        <f t="shared" si="0"/>
        <v>8877</v>
      </c>
      <c r="M13" s="7">
        <f t="shared" si="1"/>
        <v>1268.1428571428571</v>
      </c>
      <c r="N13" s="7">
        <f t="shared" si="2"/>
        <v>1246</v>
      </c>
      <c r="O13" s="7">
        <f t="shared" si="3"/>
        <v>1276</v>
      </c>
      <c r="P13" s="9">
        <f t="shared" si="4"/>
        <v>-2.3510971786833812E-2</v>
      </c>
      <c r="Q13" s="2" t="str">
        <f t="shared" si="5"/>
        <v>Below Average</v>
      </c>
    </row>
    <row r="14" spans="2:17" x14ac:dyDescent="0.25">
      <c r="B14" s="2" t="s">
        <v>14</v>
      </c>
      <c r="C14" s="2" t="str">
        <f>VLOOKUP(B14,'Raw Dataset 2'!$A$2:$B$17,2,)</f>
        <v>Warner Bros.</v>
      </c>
      <c r="D14" s="2" t="s">
        <v>19</v>
      </c>
      <c r="E14" s="4">
        <v>1246</v>
      </c>
      <c r="F14" s="4">
        <v>1246</v>
      </c>
      <c r="G14" s="4">
        <v>1246</v>
      </c>
      <c r="H14" s="4">
        <v>1246</v>
      </c>
      <c r="I14" s="4">
        <v>1246</v>
      </c>
      <c r="J14" s="4">
        <v>1246</v>
      </c>
      <c r="K14" s="4">
        <v>1291</v>
      </c>
      <c r="L14" s="8">
        <f t="shared" si="0"/>
        <v>8767</v>
      </c>
      <c r="M14" s="7">
        <f t="shared" si="1"/>
        <v>1252.4285714285713</v>
      </c>
      <c r="N14" s="7">
        <f t="shared" si="2"/>
        <v>1246</v>
      </c>
      <c r="O14" s="7">
        <f t="shared" si="3"/>
        <v>1291</v>
      </c>
      <c r="P14" s="9">
        <f t="shared" si="4"/>
        <v>3.6115569823435001E-2</v>
      </c>
      <c r="Q14" s="2" t="str">
        <f t="shared" si="5"/>
        <v>Below Average</v>
      </c>
    </row>
    <row r="15" spans="2:17" x14ac:dyDescent="0.25">
      <c r="B15" s="2" t="s">
        <v>8</v>
      </c>
      <c r="C15" s="2" t="str">
        <f>VLOOKUP(B15,'Raw Dataset 2'!$A$2:$B$17,2,)</f>
        <v>Sony Pictures</v>
      </c>
      <c r="D15" s="2" t="s">
        <v>19</v>
      </c>
      <c r="E15" s="4">
        <v>1246</v>
      </c>
      <c r="F15" s="4">
        <v>1246</v>
      </c>
      <c r="G15" s="4">
        <v>1246</v>
      </c>
      <c r="H15" s="4">
        <v>1246</v>
      </c>
      <c r="I15" s="4">
        <v>1246</v>
      </c>
      <c r="J15" s="4">
        <v>1246</v>
      </c>
      <c r="K15" s="4">
        <v>1246</v>
      </c>
      <c r="L15" s="8">
        <f t="shared" si="0"/>
        <v>8722</v>
      </c>
      <c r="M15" s="7">
        <f t="shared" si="1"/>
        <v>1246</v>
      </c>
      <c r="N15" s="7">
        <f t="shared" si="2"/>
        <v>1246</v>
      </c>
      <c r="O15" s="7">
        <f t="shared" si="3"/>
        <v>1246</v>
      </c>
      <c r="P15" s="9">
        <f t="shared" si="4"/>
        <v>0</v>
      </c>
      <c r="Q15" s="2" t="str">
        <f t="shared" si="5"/>
        <v>Below Average</v>
      </c>
    </row>
    <row r="16" spans="2:17" x14ac:dyDescent="0.25">
      <c r="B16" s="2" t="s">
        <v>11</v>
      </c>
      <c r="C16" s="2" t="str">
        <f>VLOOKUP(B16,'Raw Dataset 2'!$A$2:$B$17,2,)</f>
        <v>20th Century Fox</v>
      </c>
      <c r="D16" s="2" t="s">
        <v>20</v>
      </c>
      <c r="E16" s="4">
        <v>1246</v>
      </c>
      <c r="F16" s="4">
        <v>1246</v>
      </c>
      <c r="G16" s="4">
        <v>1246</v>
      </c>
      <c r="H16" s="4">
        <v>1246</v>
      </c>
      <c r="I16" s="4">
        <v>1246</v>
      </c>
      <c r="J16" s="4">
        <v>1246</v>
      </c>
      <c r="K16" s="4">
        <v>1246</v>
      </c>
      <c r="L16" s="8">
        <f t="shared" si="0"/>
        <v>8722</v>
      </c>
      <c r="M16" s="7">
        <f t="shared" si="1"/>
        <v>1246</v>
      </c>
      <c r="N16" s="7">
        <f t="shared" si="2"/>
        <v>1246</v>
      </c>
      <c r="O16" s="7">
        <f t="shared" si="3"/>
        <v>1246</v>
      </c>
      <c r="P16" s="9">
        <f t="shared" si="4"/>
        <v>0</v>
      </c>
      <c r="Q16" s="2" t="str">
        <f t="shared" si="5"/>
        <v>Below Average</v>
      </c>
    </row>
    <row r="17" spans="2:17" x14ac:dyDescent="0.25">
      <c r="B17" s="2" t="s">
        <v>16</v>
      </c>
      <c r="C17" s="2" t="str">
        <f>VLOOKUP(B17,'Raw Dataset 2'!$A$2:$B$17,2,)</f>
        <v>Walt Disney</v>
      </c>
      <c r="D17" s="2" t="s">
        <v>20</v>
      </c>
      <c r="E17" s="4">
        <v>1246</v>
      </c>
      <c r="F17" s="4">
        <v>1246</v>
      </c>
      <c r="G17" s="4">
        <v>1246</v>
      </c>
      <c r="H17" s="4">
        <v>1246</v>
      </c>
      <c r="I17" s="4">
        <v>1246</v>
      </c>
      <c r="J17" s="4">
        <v>1246</v>
      </c>
      <c r="K17" s="4">
        <v>1246</v>
      </c>
      <c r="L17" s="8">
        <f t="shared" si="0"/>
        <v>8722</v>
      </c>
      <c r="M17" s="7">
        <f t="shared" si="1"/>
        <v>1246</v>
      </c>
      <c r="N17" s="7">
        <f t="shared" si="2"/>
        <v>1246</v>
      </c>
      <c r="O17" s="7">
        <f t="shared" si="3"/>
        <v>1246</v>
      </c>
      <c r="P17" s="9">
        <f t="shared" si="4"/>
        <v>0</v>
      </c>
      <c r="Q17" s="2" t="str">
        <f t="shared" si="5"/>
        <v>Below Average</v>
      </c>
    </row>
    <row r="18" spans="2:17" ht="15.75" x14ac:dyDescent="0.25">
      <c r="B18" s="2" t="s">
        <v>29</v>
      </c>
      <c r="C18" s="2"/>
      <c r="D18" s="2"/>
      <c r="E18" s="11">
        <v>1835146</v>
      </c>
      <c r="F18" s="11">
        <v>1924926</v>
      </c>
      <c r="G18" s="11">
        <v>1866176</v>
      </c>
      <c r="H18" s="11">
        <v>1832596</v>
      </c>
      <c r="I18" s="11">
        <v>1908986</v>
      </c>
      <c r="J18" s="11">
        <v>3874756</v>
      </c>
      <c r="K18" s="11">
        <v>2063506</v>
      </c>
      <c r="L18" s="12">
        <v>15306092</v>
      </c>
      <c r="M18" s="11">
        <v>2186584.5714285714</v>
      </c>
      <c r="N18" s="11">
        <v>1782141</v>
      </c>
      <c r="O18" s="11">
        <v>3902441</v>
      </c>
      <c r="P18" s="13">
        <v>-0.46744878903342557</v>
      </c>
      <c r="Q18" s="14">
        <f>AVERAGE(L2:L17)</f>
        <v>956630.75</v>
      </c>
    </row>
  </sheetData>
  <sortState xmlns:xlrd2="http://schemas.microsoft.com/office/spreadsheetml/2017/richdata2" ref="B2:P17">
    <sortCondition descending="1" ref="L1:L17"/>
  </sortState>
  <conditionalFormatting sqref="P2:P16 P18">
    <cfRule type="cellIs" dxfId="44" priority="8" operator="greaterThan">
      <formula>0</formula>
    </cfRule>
  </conditionalFormatting>
  <conditionalFormatting sqref="P2:P18">
    <cfRule type="cellIs" dxfId="43" priority="3" operator="equal">
      <formula>0</formula>
    </cfRule>
    <cfRule type="cellIs" dxfId="42" priority="4" operator="equal">
      <formula>0</formula>
    </cfRule>
    <cfRule type="cellIs" priority="5" operator="equal">
      <formula>0</formula>
    </cfRule>
    <cfRule type="cellIs" dxfId="41" priority="6" operator="equal">
      <formula>0</formula>
    </cfRule>
    <cfRule type="cellIs" dxfId="40" priority="7" operator="lessThan">
      <formula>0</formula>
    </cfRule>
  </conditionalFormatting>
  <conditionalFormatting sqref="Q2:Q17">
    <cfRule type="cellIs" dxfId="39" priority="1" operator="equal">
      <formula>"Below average"</formula>
    </cfRule>
    <cfRule type="cellIs" dxfId="38" priority="2" operator="equal">
      <formula>"above average"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F4A6F-3D44-423C-B4DF-065373E23040}">
  <sheetPr codeName="Sheet6"/>
  <dimension ref="A2:H16"/>
  <sheetViews>
    <sheetView showGridLines="0" workbookViewId="0"/>
  </sheetViews>
  <sheetFormatPr defaultRowHeight="15" x14ac:dyDescent="0.25"/>
  <cols>
    <col min="1" max="1" width="10.7109375" style="3" customWidth="1"/>
    <col min="2" max="2" width="9.140625" style="15"/>
    <col min="3" max="3" width="18.5703125" style="15" bestFit="1" customWidth="1"/>
    <col min="4" max="4" width="12.5703125" style="15" bestFit="1" customWidth="1"/>
    <col min="5" max="5" width="14.42578125" style="15" bestFit="1" customWidth="1"/>
    <col min="6" max="6" width="9.140625" style="15"/>
    <col min="7" max="7" width="18.5703125" style="15" bestFit="1" customWidth="1"/>
    <col min="8" max="8" width="14.42578125" style="15" bestFit="1" customWidth="1"/>
    <col min="9" max="16384" width="9.140625" style="15"/>
  </cols>
  <sheetData>
    <row r="2" spans="3:8" x14ac:dyDescent="0.25">
      <c r="C2" s="16" t="s">
        <v>39</v>
      </c>
      <c r="D2" s="16" t="s">
        <v>37</v>
      </c>
      <c r="E2" s="16" t="s">
        <v>38</v>
      </c>
      <c r="G2" s="16" t="s">
        <v>39</v>
      </c>
      <c r="H2" s="16" t="s">
        <v>38</v>
      </c>
    </row>
    <row r="3" spans="3:8" x14ac:dyDescent="0.25">
      <c r="C3" s="17" t="s">
        <v>23</v>
      </c>
      <c r="D3" s="18">
        <v>75416</v>
      </c>
      <c r="E3" s="18">
        <v>3591.2380952380954</v>
      </c>
      <c r="G3" s="17" t="s">
        <v>23</v>
      </c>
      <c r="H3" s="18">
        <v>3591.2380952380954</v>
      </c>
    </row>
    <row r="4" spans="3:8" x14ac:dyDescent="0.25">
      <c r="C4" s="17" t="s">
        <v>28</v>
      </c>
      <c r="D4" s="18">
        <v>8877</v>
      </c>
      <c r="E4" s="18">
        <v>1268.1428571428571</v>
      </c>
      <c r="G4" s="17" t="s">
        <v>28</v>
      </c>
      <c r="H4" s="18">
        <v>1268.1428571428571</v>
      </c>
    </row>
    <row r="5" spans="3:8" x14ac:dyDescent="0.25">
      <c r="C5" s="17" t="s">
        <v>25</v>
      </c>
      <c r="D5" s="18">
        <v>8323259</v>
      </c>
      <c r="E5" s="18">
        <v>594518.5</v>
      </c>
      <c r="G5" s="17" t="s">
        <v>25</v>
      </c>
      <c r="H5" s="18">
        <v>594518.5</v>
      </c>
    </row>
    <row r="6" spans="3:8" x14ac:dyDescent="0.25">
      <c r="C6" s="17" t="s">
        <v>24</v>
      </c>
      <c r="D6" s="18">
        <v>40276</v>
      </c>
      <c r="E6" s="18">
        <v>1917.9047619047622</v>
      </c>
      <c r="G6" s="17" t="s">
        <v>24</v>
      </c>
      <c r="H6" s="18">
        <v>1917.9047619047622</v>
      </c>
    </row>
    <row r="7" spans="3:8" x14ac:dyDescent="0.25">
      <c r="C7" s="17" t="s">
        <v>26</v>
      </c>
      <c r="D7" s="18">
        <v>9117</v>
      </c>
      <c r="E7" s="18">
        <v>1302.4285714285713</v>
      </c>
      <c r="G7" s="17" t="s">
        <v>26</v>
      </c>
      <c r="H7" s="18">
        <v>1302.4285714285713</v>
      </c>
    </row>
    <row r="8" spans="3:8" x14ac:dyDescent="0.25">
      <c r="C8" s="17" t="s">
        <v>27</v>
      </c>
      <c r="D8" s="18">
        <v>4560931</v>
      </c>
      <c r="E8" s="18">
        <v>217187.1904761905</v>
      </c>
      <c r="G8" s="17" t="s">
        <v>27</v>
      </c>
      <c r="H8" s="18">
        <v>217187.1904761905</v>
      </c>
    </row>
    <row r="9" spans="3:8" x14ac:dyDescent="0.25">
      <c r="C9" s="17" t="s">
        <v>22</v>
      </c>
      <c r="D9" s="18">
        <v>2288216</v>
      </c>
      <c r="E9" s="18">
        <v>108962.66666666667</v>
      </c>
      <c r="G9" s="17" t="s">
        <v>22</v>
      </c>
      <c r="H9" s="18">
        <v>108962.66666666667</v>
      </c>
    </row>
    <row r="10" spans="3:8" x14ac:dyDescent="0.25">
      <c r="C10" s="17" t="s">
        <v>36</v>
      </c>
      <c r="D10" s="18">
        <v>15306092</v>
      </c>
      <c r="E10" s="18">
        <v>136661.53571428571</v>
      </c>
      <c r="G10" s="17" t="s">
        <v>36</v>
      </c>
      <c r="H10" s="18">
        <v>136661.53571428571</v>
      </c>
    </row>
    <row r="12" spans="3:8" x14ac:dyDescent="0.25">
      <c r="C12" s="16" t="s">
        <v>40</v>
      </c>
      <c r="D12" s="16" t="s">
        <v>38</v>
      </c>
    </row>
    <row r="13" spans="3:8" x14ac:dyDescent="0.25">
      <c r="C13" s="17" t="s">
        <v>20</v>
      </c>
      <c r="D13" s="18">
        <v>273365.46428571426</v>
      </c>
    </row>
    <row r="14" spans="3:8" x14ac:dyDescent="0.25">
      <c r="C14" s="17" t="s">
        <v>19</v>
      </c>
      <c r="D14" s="18">
        <v>70274.246753246756</v>
      </c>
    </row>
    <row r="15" spans="3:8" x14ac:dyDescent="0.25">
      <c r="C15" s="17" t="s">
        <v>18</v>
      </c>
      <c r="D15" s="18">
        <v>320106</v>
      </c>
    </row>
    <row r="16" spans="3:8" x14ac:dyDescent="0.25">
      <c r="C16" s="17" t="s">
        <v>36</v>
      </c>
      <c r="D16" s="18">
        <v>136661.53571428574</v>
      </c>
    </row>
  </sheetData>
  <pageMargins left="0.7" right="0.7" top="0.75" bottom="0.75" header="0.3" footer="0.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F53CE-6CAA-4647-9AA1-0B372868EBE7}">
  <sheetPr codeName="Sheet1"/>
  <dimension ref="A1"/>
  <sheetViews>
    <sheetView showGridLines="0" workbookViewId="0"/>
  </sheetViews>
  <sheetFormatPr defaultRowHeight="15" x14ac:dyDescent="0.25"/>
  <cols>
    <col min="1" max="1" width="10.7109375" style="3" customWidth="1"/>
  </cols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68036-5DC2-41BC-A077-D8C731D0EA9D}">
  <sheetPr codeName="Sheet2"/>
  <dimension ref="A1:I17"/>
  <sheetViews>
    <sheetView workbookViewId="0">
      <selection sqref="A1:I17"/>
    </sheetView>
  </sheetViews>
  <sheetFormatPr defaultRowHeight="15" x14ac:dyDescent="0.25"/>
  <sheetData>
    <row r="1" spans="1:9" x14ac:dyDescent="0.25">
      <c r="A1" t="s">
        <v>0</v>
      </c>
      <c r="B1" t="s">
        <v>17</v>
      </c>
      <c r="C1" s="1">
        <v>44378</v>
      </c>
      <c r="D1" s="1">
        <v>44409</v>
      </c>
      <c r="E1" s="1">
        <v>44440</v>
      </c>
      <c r="F1" s="1">
        <v>44470</v>
      </c>
      <c r="G1" s="1">
        <v>44501</v>
      </c>
      <c r="H1" s="1">
        <v>44531</v>
      </c>
      <c r="I1" s="1">
        <v>44562</v>
      </c>
    </row>
    <row r="2" spans="1:9" x14ac:dyDescent="0.25">
      <c r="A2" t="s">
        <v>1</v>
      </c>
      <c r="B2" t="s">
        <v>18</v>
      </c>
      <c r="C2">
        <v>259311</v>
      </c>
      <c r="D2">
        <v>263611</v>
      </c>
      <c r="E2">
        <v>263801</v>
      </c>
      <c r="F2">
        <v>279256</v>
      </c>
      <c r="G2">
        <v>283426</v>
      </c>
      <c r="H2">
        <v>590476</v>
      </c>
      <c r="I2">
        <v>300861</v>
      </c>
    </row>
    <row r="3" spans="1:9" x14ac:dyDescent="0.25">
      <c r="A3" t="s">
        <v>2</v>
      </c>
      <c r="B3" t="s">
        <v>19</v>
      </c>
      <c r="C3">
        <v>14506</v>
      </c>
      <c r="D3">
        <v>18876</v>
      </c>
      <c r="E3">
        <v>8641</v>
      </c>
      <c r="F3">
        <v>5236</v>
      </c>
      <c r="G3">
        <v>5066</v>
      </c>
      <c r="H3">
        <v>2286</v>
      </c>
      <c r="I3">
        <v>1316</v>
      </c>
    </row>
    <row r="4" spans="1:9" x14ac:dyDescent="0.25">
      <c r="A4" t="s">
        <v>3</v>
      </c>
      <c r="B4" t="s">
        <v>19</v>
      </c>
      <c r="C4">
        <v>2251</v>
      </c>
      <c r="D4">
        <v>2286</v>
      </c>
      <c r="E4">
        <v>2286</v>
      </c>
      <c r="F4">
        <v>3756</v>
      </c>
      <c r="G4">
        <v>4451</v>
      </c>
      <c r="H4">
        <v>4956</v>
      </c>
      <c r="I4">
        <v>2671</v>
      </c>
    </row>
    <row r="5" spans="1:9" x14ac:dyDescent="0.25">
      <c r="A5" t="s">
        <v>4</v>
      </c>
      <c r="B5" t="s">
        <v>19</v>
      </c>
      <c r="C5">
        <v>81641</v>
      </c>
      <c r="D5">
        <v>86581</v>
      </c>
      <c r="E5">
        <v>78091</v>
      </c>
      <c r="F5">
        <v>92076</v>
      </c>
      <c r="G5">
        <v>94381</v>
      </c>
      <c r="H5">
        <v>187256</v>
      </c>
      <c r="I5">
        <v>111241</v>
      </c>
    </row>
    <row r="6" spans="1:9" x14ac:dyDescent="0.25">
      <c r="A6" t="s">
        <v>5</v>
      </c>
      <c r="B6" t="s">
        <v>19</v>
      </c>
      <c r="C6">
        <v>1506</v>
      </c>
      <c r="D6">
        <v>1501</v>
      </c>
      <c r="E6">
        <v>1501</v>
      </c>
      <c r="F6">
        <v>1516</v>
      </c>
      <c r="G6">
        <v>1501</v>
      </c>
      <c r="H6">
        <v>1746</v>
      </c>
      <c r="I6">
        <v>1496</v>
      </c>
    </row>
    <row r="7" spans="1:9" x14ac:dyDescent="0.25">
      <c r="A7" t="s">
        <v>6</v>
      </c>
      <c r="B7" t="s">
        <v>19</v>
      </c>
      <c r="C7">
        <v>1296</v>
      </c>
      <c r="D7">
        <v>1296</v>
      </c>
      <c r="E7">
        <v>1296</v>
      </c>
      <c r="F7">
        <v>1291</v>
      </c>
      <c r="G7">
        <v>1296</v>
      </c>
      <c r="H7">
        <v>1346</v>
      </c>
      <c r="I7">
        <v>1296</v>
      </c>
    </row>
    <row r="8" spans="1:9" x14ac:dyDescent="0.25">
      <c r="A8" t="s">
        <v>7</v>
      </c>
      <c r="B8" t="s">
        <v>19</v>
      </c>
      <c r="C8">
        <v>7586</v>
      </c>
      <c r="D8">
        <v>7081</v>
      </c>
      <c r="E8">
        <v>8006</v>
      </c>
      <c r="F8">
        <v>12296</v>
      </c>
      <c r="G8">
        <v>1246</v>
      </c>
      <c r="H8">
        <v>1246</v>
      </c>
      <c r="I8">
        <v>1246</v>
      </c>
    </row>
    <row r="9" spans="1:9" x14ac:dyDescent="0.25">
      <c r="A9" t="s">
        <v>8</v>
      </c>
      <c r="B9" t="s">
        <v>19</v>
      </c>
      <c r="C9">
        <v>1246</v>
      </c>
      <c r="D9">
        <v>1246</v>
      </c>
      <c r="E9">
        <v>1246</v>
      </c>
      <c r="F9">
        <v>1246</v>
      </c>
      <c r="G9">
        <v>1246</v>
      </c>
      <c r="H9">
        <v>1246</v>
      </c>
      <c r="I9">
        <v>1246</v>
      </c>
    </row>
    <row r="10" spans="1:9" x14ac:dyDescent="0.25">
      <c r="A10" t="s">
        <v>9</v>
      </c>
      <c r="B10" t="s">
        <v>19</v>
      </c>
      <c r="C10">
        <v>544951</v>
      </c>
      <c r="D10">
        <v>576636</v>
      </c>
      <c r="E10">
        <v>564851</v>
      </c>
      <c r="F10">
        <v>516416</v>
      </c>
      <c r="G10">
        <v>558496</v>
      </c>
      <c r="H10">
        <v>1139066</v>
      </c>
      <c r="I10">
        <v>606996</v>
      </c>
    </row>
    <row r="11" spans="1:9" x14ac:dyDescent="0.25">
      <c r="A11" t="s">
        <v>10</v>
      </c>
      <c r="B11" t="s">
        <v>19</v>
      </c>
      <c r="C11">
        <v>1271</v>
      </c>
      <c r="D11">
        <v>1271</v>
      </c>
      <c r="E11">
        <v>1271</v>
      </c>
      <c r="F11">
        <v>1271</v>
      </c>
      <c r="G11">
        <v>1271</v>
      </c>
      <c r="H11">
        <v>1276</v>
      </c>
      <c r="I11">
        <v>1246</v>
      </c>
    </row>
    <row r="12" spans="1:9" x14ac:dyDescent="0.25">
      <c r="A12" t="s">
        <v>11</v>
      </c>
      <c r="B12" t="s">
        <v>20</v>
      </c>
      <c r="C12">
        <v>1246</v>
      </c>
      <c r="D12">
        <v>1246</v>
      </c>
      <c r="E12">
        <v>1246</v>
      </c>
      <c r="F12">
        <v>1246</v>
      </c>
      <c r="G12">
        <v>1246</v>
      </c>
      <c r="H12">
        <v>1246</v>
      </c>
      <c r="I12">
        <v>1246</v>
      </c>
    </row>
    <row r="13" spans="1:9" x14ac:dyDescent="0.25">
      <c r="A13" t="s">
        <v>12</v>
      </c>
      <c r="B13" t="s">
        <v>20</v>
      </c>
      <c r="C13">
        <v>5746</v>
      </c>
      <c r="D13">
        <v>5816</v>
      </c>
      <c r="E13">
        <v>5836</v>
      </c>
      <c r="F13">
        <v>5671</v>
      </c>
      <c r="G13">
        <v>5841</v>
      </c>
      <c r="H13">
        <v>10066</v>
      </c>
      <c r="I13">
        <v>5821</v>
      </c>
    </row>
    <row r="14" spans="1:9" x14ac:dyDescent="0.25">
      <c r="A14" t="s">
        <v>13</v>
      </c>
      <c r="B14" t="s">
        <v>19</v>
      </c>
      <c r="C14">
        <v>1246</v>
      </c>
      <c r="D14">
        <v>1246</v>
      </c>
      <c r="E14">
        <v>1246</v>
      </c>
      <c r="F14">
        <v>1251</v>
      </c>
      <c r="G14">
        <v>1256</v>
      </c>
      <c r="H14">
        <v>1396</v>
      </c>
      <c r="I14">
        <v>1256</v>
      </c>
    </row>
    <row r="15" spans="1:9" x14ac:dyDescent="0.25">
      <c r="A15" t="s">
        <v>14</v>
      </c>
      <c r="B15" t="s">
        <v>19</v>
      </c>
      <c r="C15">
        <v>1246</v>
      </c>
      <c r="D15">
        <v>1246</v>
      </c>
      <c r="E15">
        <v>1246</v>
      </c>
      <c r="F15">
        <v>1246</v>
      </c>
      <c r="G15">
        <v>1246</v>
      </c>
      <c r="H15">
        <v>1246</v>
      </c>
      <c r="I15">
        <v>1291</v>
      </c>
    </row>
    <row r="16" spans="1:9" x14ac:dyDescent="0.25">
      <c r="A16" t="s">
        <v>15</v>
      </c>
      <c r="B16" t="s">
        <v>20</v>
      </c>
      <c r="C16">
        <v>908851</v>
      </c>
      <c r="D16">
        <v>953741</v>
      </c>
      <c r="E16">
        <v>924366</v>
      </c>
      <c r="F16">
        <v>907576</v>
      </c>
      <c r="G16">
        <v>945771</v>
      </c>
      <c r="H16">
        <v>1928656</v>
      </c>
      <c r="I16">
        <v>1023031</v>
      </c>
    </row>
    <row r="17" spans="1:9" x14ac:dyDescent="0.25">
      <c r="A17" t="s">
        <v>16</v>
      </c>
      <c r="B17" t="s">
        <v>20</v>
      </c>
      <c r="C17">
        <v>1246</v>
      </c>
      <c r="D17">
        <v>1246</v>
      </c>
      <c r="E17">
        <v>1246</v>
      </c>
      <c r="F17">
        <v>1246</v>
      </c>
      <c r="G17">
        <v>1246</v>
      </c>
      <c r="H17">
        <v>1246</v>
      </c>
      <c r="I17">
        <v>1246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D2FB-3C9C-471F-9165-679A7D675F12}">
  <sheetPr codeName="Sheet3"/>
  <dimension ref="A1:B17"/>
  <sheetViews>
    <sheetView workbookViewId="0"/>
  </sheetViews>
  <sheetFormatPr defaultRowHeight="15" x14ac:dyDescent="0.25"/>
  <cols>
    <col min="1" max="2" width="9.140625" customWidth="1"/>
  </cols>
  <sheetData>
    <row r="1" spans="1:2" x14ac:dyDescent="0.25">
      <c r="A1" t="s">
        <v>0</v>
      </c>
      <c r="B1" t="s">
        <v>21</v>
      </c>
    </row>
    <row r="2" spans="1:2" x14ac:dyDescent="0.25">
      <c r="A2" t="s">
        <v>1</v>
      </c>
      <c r="B2" t="s">
        <v>22</v>
      </c>
    </row>
    <row r="3" spans="1:2" x14ac:dyDescent="0.25">
      <c r="A3" t="s">
        <v>2</v>
      </c>
      <c r="B3" t="s">
        <v>23</v>
      </c>
    </row>
    <row r="4" spans="1:2" x14ac:dyDescent="0.25">
      <c r="A4" t="s">
        <v>3</v>
      </c>
      <c r="B4" t="s">
        <v>24</v>
      </c>
    </row>
    <row r="5" spans="1:2" x14ac:dyDescent="0.25">
      <c r="A5" t="s">
        <v>4</v>
      </c>
      <c r="B5" t="s">
        <v>25</v>
      </c>
    </row>
    <row r="6" spans="1:2" x14ac:dyDescent="0.25">
      <c r="A6" t="s">
        <v>5</v>
      </c>
      <c r="B6" t="s">
        <v>23</v>
      </c>
    </row>
    <row r="7" spans="1:2" x14ac:dyDescent="0.25">
      <c r="A7" t="s">
        <v>6</v>
      </c>
      <c r="B7" t="s">
        <v>26</v>
      </c>
    </row>
    <row r="8" spans="1:2" x14ac:dyDescent="0.25">
      <c r="A8" t="s">
        <v>7</v>
      </c>
      <c r="B8" t="s">
        <v>22</v>
      </c>
    </row>
    <row r="9" spans="1:2" x14ac:dyDescent="0.25">
      <c r="A9" t="s">
        <v>8</v>
      </c>
      <c r="B9" t="s">
        <v>24</v>
      </c>
    </row>
    <row r="10" spans="1:2" x14ac:dyDescent="0.25">
      <c r="A10" t="s">
        <v>9</v>
      </c>
      <c r="B10" t="s">
        <v>27</v>
      </c>
    </row>
    <row r="11" spans="1:2" x14ac:dyDescent="0.25">
      <c r="A11" t="s">
        <v>10</v>
      </c>
      <c r="B11" t="s">
        <v>28</v>
      </c>
    </row>
    <row r="12" spans="1:2" x14ac:dyDescent="0.25">
      <c r="A12" t="s">
        <v>11</v>
      </c>
      <c r="B12" t="s">
        <v>23</v>
      </c>
    </row>
    <row r="13" spans="1:2" x14ac:dyDescent="0.25">
      <c r="A13" t="s">
        <v>12</v>
      </c>
      <c r="B13" t="s">
        <v>27</v>
      </c>
    </row>
    <row r="14" spans="1:2" x14ac:dyDescent="0.25">
      <c r="A14" t="s">
        <v>13</v>
      </c>
      <c r="B14" t="s">
        <v>24</v>
      </c>
    </row>
    <row r="15" spans="1:2" x14ac:dyDescent="0.25">
      <c r="A15" t="s">
        <v>14</v>
      </c>
      <c r="B15" t="s">
        <v>22</v>
      </c>
    </row>
    <row r="16" spans="1:2" x14ac:dyDescent="0.25">
      <c r="A16" t="s">
        <v>15</v>
      </c>
      <c r="B16" t="s">
        <v>25</v>
      </c>
    </row>
    <row r="17" spans="1:2" x14ac:dyDescent="0.25">
      <c r="A17" t="s">
        <v>16</v>
      </c>
      <c r="B17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Data</vt:lpstr>
      <vt:lpstr>Pivot Tables</vt:lpstr>
      <vt:lpstr>Tasks</vt:lpstr>
      <vt:lpstr>Raw Dataset 1</vt:lpstr>
      <vt:lpstr>Raw Dataset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Ioannis Pitsillides</dc:creator>
  <cp:lastModifiedBy>Aravind Bala</cp:lastModifiedBy>
  <dcterms:created xsi:type="dcterms:W3CDTF">2022-01-22T13:01:58Z</dcterms:created>
  <dcterms:modified xsi:type="dcterms:W3CDTF">2023-08-21T17:46:52Z</dcterms:modified>
</cp:coreProperties>
</file>